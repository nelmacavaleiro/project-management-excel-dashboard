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nelma\OneDrive\Documents\Portfolio\Project Management Excel\"/>
    </mc:Choice>
  </mc:AlternateContent>
  <xr:revisionPtr revIDLastSave="0" documentId="13_ncr:1_{C8441A6A-C793-4CC1-9988-DEAC6C7401DC}" xr6:coauthVersionLast="47" xr6:coauthVersionMax="47" xr10:uidLastSave="{00000000-0000-0000-0000-000000000000}"/>
  <bookViews>
    <workbookView xWindow="-96" yWindow="-96" windowWidth="23232" windowHeight="12432" activeTab="3" xr2:uid="{36EF5608-2E1C-49AC-9986-6AF069DF44CD}"/>
    <workbookView xWindow="-96" yWindow="-96" windowWidth="23232" windowHeight="12432" activeTab="3" xr2:uid="{DEF36D64-0C0A-45C9-89BC-56B224262519}"/>
  </bookViews>
  <sheets>
    <sheet name="RAW DATA" sheetId="2" r:id="rId1"/>
    <sheet name=" ANALYSIS" sheetId="1" r:id="rId2"/>
    <sheet name="PROJECT SUMMARY" sheetId="7" r:id="rId3"/>
    <sheet name="TASK SUMMARY " sheetId="8" r:id="rId4"/>
  </sheets>
  <definedNames>
    <definedName name="_xlchart.v5.0" hidden="1">' ANALYSIS'!$H$20</definedName>
    <definedName name="_xlchart.v5.1" hidden="1">' ANALYSIS'!$H$21:$H$33</definedName>
    <definedName name="_xlchart.v5.2" hidden="1">' ANALYSIS'!$I$20</definedName>
    <definedName name="_xlchart.v5.3" hidden="1">' ANALYSIS'!$I$21:$I$33</definedName>
    <definedName name="BUDGET">' ANALYSIS'!$H$3</definedName>
    <definedName name="BUDGETUSED">' ANALYSIS'!$H$5</definedName>
    <definedName name="COMPLETED">' ANALYSIS'!$K$3</definedName>
    <definedName name="COST">' ANALYSIS'!$H$4</definedName>
    <definedName name="ExternalData_1" localSheetId="0" hidden="1">'RAW DATA'!$A$1:$Q$301</definedName>
    <definedName name="HOURS">' ANALYSIS'!$K$4</definedName>
    <definedName name="PROJECTS">' ANALYSIS'!$H$2</definedName>
    <definedName name="Slicer_Assigned_To">#N/A</definedName>
    <definedName name="task">' ANALYSIS'!$K$3</definedName>
    <definedName name="TASKS">' ANALYSIS'!$K$2</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1" i="1" l="1" a="1"/>
  <c r="G41" i="1" s="1"/>
  <c r="H21" i="1" a="1"/>
  <c r="H21" i="1" s="1"/>
  <c r="C20" i="1" a="1"/>
  <c r="C20" i="1" s="1"/>
  <c r="K4" i="1"/>
  <c r="K2" i="1"/>
  <c r="H3" i="1"/>
  <c r="H2" i="1"/>
  <c r="H4" i="1"/>
  <c r="C40" i="1"/>
  <c r="K5" i="1" l="1"/>
  <c r="G5" i="8" s="1"/>
  <c r="F5" i="7"/>
  <c r="F5" i="8"/>
  <c r="D5" i="8"/>
  <c r="E5" i="7"/>
  <c r="D5" i="7"/>
  <c r="I41" i="1" a="1"/>
  <c r="I41" i="1" s="1"/>
  <c r="E5" i="8"/>
  <c r="H5" i="1"/>
  <c r="G5"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F11939-841D-4270-9A6F-A1E4EA0A5BA5}" keepAlive="1" name="Query - Project Management (1)" description="Connection to the 'Project Management (1)' query in the workbook." type="5" refreshedVersion="7" background="1" saveData="1">
    <dbPr connection="Provider=Microsoft.Mashup.OleDb.1;Data Source=$Workbook$;Location=&quot;Project Management (1)&quot;;Extended Properties=&quot;&quot;" command="SELECT * FROM [Project Management (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<sst xmlns="http://schemas.openxmlformats.org/spreadsheetml/2006/main" count="3160" uniqueCount="609">
  <si>
    <t>Project ID</t>
  </si>
  <si>
    <t>Project Name</t>
  </si>
  <si>
    <t>Project Type</t>
  </si>
  <si>
    <t>Location</t>
  </si>
  <si>
    <t>Start Date</t>
  </si>
  <si>
    <t>End Date</t>
  </si>
  <si>
    <t>Project Status</t>
  </si>
  <si>
    <t>Priority</t>
  </si>
  <si>
    <t>Task ID</t>
  </si>
  <si>
    <t>Task Name</t>
  </si>
  <si>
    <t>Task Status</t>
  </si>
  <si>
    <t>Assigned To</t>
  </si>
  <si>
    <t>Hours Spent</t>
  </si>
  <si>
    <t>Progress</t>
  </si>
  <si>
    <t>Budget</t>
  </si>
  <si>
    <t>Actual Cost</t>
  </si>
  <si>
    <t>Buget Utilization</t>
  </si>
  <si>
    <t>P001</t>
  </si>
  <si>
    <t>Renovation of a School Project 001</t>
  </si>
  <si>
    <t>Renovation</t>
  </si>
  <si>
    <t>Texas</t>
  </si>
  <si>
    <t>Behind</t>
  </si>
  <si>
    <t>Medium</t>
  </si>
  <si>
    <t>T001</t>
  </si>
  <si>
    <t>Task 001 of Renovation of a School Project 001</t>
  </si>
  <si>
    <t>In Progress</t>
  </si>
  <si>
    <t>Bob</t>
  </si>
  <si>
    <t>New Jersey</t>
  </si>
  <si>
    <t>High</t>
  </si>
  <si>
    <t>T002</t>
  </si>
  <si>
    <t>Task 002 of Renovation of a School Project 001</t>
  </si>
  <si>
    <t>Charlie</t>
  </si>
  <si>
    <t>Ohio</t>
  </si>
  <si>
    <t>T003</t>
  </si>
  <si>
    <t>Task 003 of Renovation of a School Project 001</t>
  </si>
  <si>
    <t>Completed</t>
  </si>
  <si>
    <t>P002</t>
  </si>
  <si>
    <t>Innovation of a Classroom Project 002</t>
  </si>
  <si>
    <t>Innovation</t>
  </si>
  <si>
    <t>Pennsylvania</t>
  </si>
  <si>
    <t>On Track</t>
  </si>
  <si>
    <t>Task 001 of Innovation of a Classroom Project 002</t>
  </si>
  <si>
    <t>Pending</t>
  </si>
  <si>
    <t>New York</t>
  </si>
  <si>
    <t>Task 002 of Innovation of a Classroom Project 002</t>
  </si>
  <si>
    <t>California</t>
  </si>
  <si>
    <t>Low</t>
  </si>
  <si>
    <t>Task 003 of Innovation of a Classroom Project 002</t>
  </si>
  <si>
    <t>Alice</t>
  </si>
  <si>
    <t>P003</t>
  </si>
  <si>
    <t>Construction of a Hospital Wing Project 003</t>
  </si>
  <si>
    <t>Construction</t>
  </si>
  <si>
    <t>Task 001 of Construction of a Hospital Wing Project 003</t>
  </si>
  <si>
    <t>Grace</t>
  </si>
  <si>
    <t>Virginia</t>
  </si>
  <si>
    <t>Task 002 of Construction of a Hospital Wing Project 003</t>
  </si>
  <si>
    <t>Frank</t>
  </si>
  <si>
    <t>Task 003 of Construction of a Hospital Wing Project 003</t>
  </si>
  <si>
    <t>P004</t>
  </si>
  <si>
    <t>Road Expansion Project 004</t>
  </si>
  <si>
    <t>Infrastructure</t>
  </si>
  <si>
    <t>Task 001 of Road Expansion Project 004</t>
  </si>
  <si>
    <t>Task 002 of Road Expansion Project 004</t>
  </si>
  <si>
    <t>Task 003 of Road Expansion Project 004</t>
  </si>
  <si>
    <t>P005</t>
  </si>
  <si>
    <t>Bridge Maintenance Project 005</t>
  </si>
  <si>
    <t>Maintenance</t>
  </si>
  <si>
    <t>Michigan</t>
  </si>
  <si>
    <t>Task 001 of Bridge Maintenance Project 005</t>
  </si>
  <si>
    <t>Task 002 of Bridge Maintenance Project 005</t>
  </si>
  <si>
    <t>Task 003 of Bridge Maintenance Project 005</t>
  </si>
  <si>
    <t>P006</t>
  </si>
  <si>
    <t>Office Building Renovation Project 006</t>
  </si>
  <si>
    <t>Task 001 of Office Building Renovation Project 006</t>
  </si>
  <si>
    <t>North Carolina</t>
  </si>
  <si>
    <t>Task 002 of Office Building Renovation Project 006</t>
  </si>
  <si>
    <t>Task 003 of Office Building Renovation Project 006</t>
  </si>
  <si>
    <t>P007</t>
  </si>
  <si>
    <t>Apartment Complex Development Project 007</t>
  </si>
  <si>
    <t>Other</t>
  </si>
  <si>
    <t>Task 001 of Apartment Complex Development Project 007</t>
  </si>
  <si>
    <t>Ivy</t>
  </si>
  <si>
    <t>Florida</t>
  </si>
  <si>
    <t>Task 002 of Apartment Complex Development Project 007</t>
  </si>
  <si>
    <t>Task 003 of Apartment Complex Development Project 007</t>
  </si>
  <si>
    <t>P008</t>
  </si>
  <si>
    <t>Commercial Center Construction Project 008</t>
  </si>
  <si>
    <t>Illinois</t>
  </si>
  <si>
    <t>Task 001 of Commercial Center Construction Project 008</t>
  </si>
  <si>
    <t>Washington</t>
  </si>
  <si>
    <t>Task 002 of Commercial Center Construction Project 008</t>
  </si>
  <si>
    <t>Georgia</t>
  </si>
  <si>
    <t>Task 003 of Commercial Center Construction Project 008</t>
  </si>
  <si>
    <t>P009</t>
  </si>
  <si>
    <t>Highway Reconstruction Project 009</t>
  </si>
  <si>
    <t>On Hold</t>
  </si>
  <si>
    <t>Task 001 of Highway Reconstruction Project 009</t>
  </si>
  <si>
    <t>Task 002 of Highway Reconstruction Project 009</t>
  </si>
  <si>
    <t>Task 003 of Highway Reconstruction Project 009</t>
  </si>
  <si>
    <t>P010</t>
  </si>
  <si>
    <t>Airport Expansion Project 010</t>
  </si>
  <si>
    <t>Task 001 of Airport Expansion Project 010</t>
  </si>
  <si>
    <t>Task 002 of Airport Expansion Project 010</t>
  </si>
  <si>
    <t>Task 003 of Airport Expansion Project 010</t>
  </si>
  <si>
    <t>P011</t>
  </si>
  <si>
    <t>Shopping Mall Renovation Project 011</t>
  </si>
  <si>
    <t>Task 001 of Shopping Mall Renovation Project 011</t>
  </si>
  <si>
    <t>Eve</t>
  </si>
  <si>
    <t>Task 002 of Shopping Mall Renovation Project 011</t>
  </si>
  <si>
    <t>Task 003 of Shopping Mall Renovation Project 011</t>
  </si>
  <si>
    <t>P012</t>
  </si>
  <si>
    <t>University Dormitory Construction Project 012</t>
  </si>
  <si>
    <t>Task 001 of University Dormitory Construction Project 012</t>
  </si>
  <si>
    <t>Task 002 of University Dormitory Construction Project 012</t>
  </si>
  <si>
    <t>Task 003 of University Dormitory Construction Project 012</t>
  </si>
  <si>
    <t>P013</t>
  </si>
  <si>
    <t>Sports Stadium Upgrade Project 013</t>
  </si>
  <si>
    <t>Task 001 of Sports Stadium Upgrade Project 013</t>
  </si>
  <si>
    <t>Task 002 of Sports Stadium Upgrade Project 013</t>
  </si>
  <si>
    <t>Task 003 of Sports Stadium Upgrade Project 013</t>
  </si>
  <si>
    <t>P014</t>
  </si>
  <si>
    <t>Public Library Renovation Project 014</t>
  </si>
  <si>
    <t>Task 001 of Public Library Renovation Project 014</t>
  </si>
  <si>
    <t>Task 002 of Public Library Renovation Project 014</t>
  </si>
  <si>
    <t>Task 003 of Public Library Renovation Project 014</t>
  </si>
  <si>
    <t>P015</t>
  </si>
  <si>
    <t>Building a Park Project 015</t>
  </si>
  <si>
    <t>Task 001 of Building a Park Project 015</t>
  </si>
  <si>
    <t>Task 002 of Building a Park Project 015</t>
  </si>
  <si>
    <t>Task 003 of Building a Park Project 015</t>
  </si>
  <si>
    <t>P016</t>
  </si>
  <si>
    <t>Renovation of a School Project 016</t>
  </si>
  <si>
    <t>Task 001 of Renovation of a School Project 016</t>
  </si>
  <si>
    <t>Task 002 of Renovation of a School Project 016</t>
  </si>
  <si>
    <t>Task 003 of Renovation of a School Project 016</t>
  </si>
  <si>
    <t>P017</t>
  </si>
  <si>
    <t>Innovation of a Classroom Project 017</t>
  </si>
  <si>
    <t>Task 001 of Innovation of a Classroom Project 017</t>
  </si>
  <si>
    <t>Task 002 of Innovation of a Classroom Project 017</t>
  </si>
  <si>
    <t>Task 003 of Innovation of a Classroom Project 017</t>
  </si>
  <si>
    <t>P018</t>
  </si>
  <si>
    <t>Construction of a Hospital Wing Project 018</t>
  </si>
  <si>
    <t>Task 001 of Construction of a Hospital Wing Project 018</t>
  </si>
  <si>
    <t>Task 002 of Construction of a Hospital Wing Project 018</t>
  </si>
  <si>
    <t>Task 003 of Construction of a Hospital Wing Project 018</t>
  </si>
  <si>
    <t>P019</t>
  </si>
  <si>
    <t>Road Expansion Project 019</t>
  </si>
  <si>
    <t>Task 001 of Road Expansion Project 019</t>
  </si>
  <si>
    <t>Task 002 of Road Expansion Project 019</t>
  </si>
  <si>
    <t>Task 003 of Road Expansion Project 019</t>
  </si>
  <si>
    <t>P020</t>
  </si>
  <si>
    <t>Bridge Maintenance Project 020</t>
  </si>
  <si>
    <t>Task 001 of Bridge Maintenance Project 020</t>
  </si>
  <si>
    <t>Task 002 of Bridge Maintenance Project 020</t>
  </si>
  <si>
    <t>Task 003 of Bridge Maintenance Project 020</t>
  </si>
  <si>
    <t>P021</t>
  </si>
  <si>
    <t>Office Building Renovation Project 021</t>
  </si>
  <si>
    <t>Task 001 of Office Building Renovation Project 021</t>
  </si>
  <si>
    <t>Task 002 of Office Building Renovation Project 021</t>
  </si>
  <si>
    <t>Task 003 of Office Building Renovation Project 021</t>
  </si>
  <si>
    <t>P022</t>
  </si>
  <si>
    <t>Apartment Complex Development Project 022</t>
  </si>
  <si>
    <t>Task 001 of Apartment Complex Development Project 022</t>
  </si>
  <si>
    <t>Task 002 of Apartment Complex Development Project 022</t>
  </si>
  <si>
    <t>Task 003 of Apartment Complex Development Project 022</t>
  </si>
  <si>
    <t>P023</t>
  </si>
  <si>
    <t>Commercial Center Construction Project 023</t>
  </si>
  <si>
    <t>Task 001 of Commercial Center Construction Project 023</t>
  </si>
  <si>
    <t>Task 002 of Commercial Center Construction Project 023</t>
  </si>
  <si>
    <t>Task 003 of Commercial Center Construction Project 023</t>
  </si>
  <si>
    <t>P024</t>
  </si>
  <si>
    <t>Highway Reconstruction Project 024</t>
  </si>
  <si>
    <t>Task 001 of Highway Reconstruction Project 024</t>
  </si>
  <si>
    <t>Task 002 of Highway Reconstruction Project 024</t>
  </si>
  <si>
    <t>Task 003 of Highway Reconstruction Project 024</t>
  </si>
  <si>
    <t>P025</t>
  </si>
  <si>
    <t>Airport Expansion Project 025</t>
  </si>
  <si>
    <t>Task 001 of Airport Expansion Project 025</t>
  </si>
  <si>
    <t>Task 002 of Airport Expansion Project 025</t>
  </si>
  <si>
    <t>David</t>
  </si>
  <si>
    <t>Task 003 of Airport Expansion Project 025</t>
  </si>
  <si>
    <t>P026</t>
  </si>
  <si>
    <t>Shopping Mall Renovation Project 026</t>
  </si>
  <si>
    <t>Task 001 of Shopping Mall Renovation Project 026</t>
  </si>
  <si>
    <t>Task 002 of Shopping Mall Renovation Project 026</t>
  </si>
  <si>
    <t>Task 003 of Shopping Mall Renovation Project 026</t>
  </si>
  <si>
    <t>P027</t>
  </si>
  <si>
    <t>University Dormitory Construction Project 027</t>
  </si>
  <si>
    <t>Task 001 of University Dormitory Construction Project 027</t>
  </si>
  <si>
    <t>Task 002 of University Dormitory Construction Project 027</t>
  </si>
  <si>
    <t>Task 003 of University Dormitory Construction Project 027</t>
  </si>
  <si>
    <t>P028</t>
  </si>
  <si>
    <t>Sports Stadium Upgrade Project 028</t>
  </si>
  <si>
    <t>Task 001 of Sports Stadium Upgrade Project 028</t>
  </si>
  <si>
    <t>Task 002 of Sports Stadium Upgrade Project 028</t>
  </si>
  <si>
    <t>Task 003 of Sports Stadium Upgrade Project 028</t>
  </si>
  <si>
    <t>P029</t>
  </si>
  <si>
    <t>Public Library Renovation Project 029</t>
  </si>
  <si>
    <t>Task 001 of Public Library Renovation Project 029</t>
  </si>
  <si>
    <t>Task 002 of Public Library Renovation Project 029</t>
  </si>
  <si>
    <t>Task 003 of Public Library Renovation Project 029</t>
  </si>
  <si>
    <t>P030</t>
  </si>
  <si>
    <t>Building a Park Project 030</t>
  </si>
  <si>
    <t>Task 001 of Building a Park Project 030</t>
  </si>
  <si>
    <t>Task 002 of Building a Park Project 030</t>
  </si>
  <si>
    <t>Task 003 of Building a Park Project 030</t>
  </si>
  <si>
    <t>P031</t>
  </si>
  <si>
    <t>Renovation of a School Project 031</t>
  </si>
  <si>
    <t>Task 001 of Renovation of a School Project 031</t>
  </si>
  <si>
    <t>Task 002 of Renovation of a School Project 031</t>
  </si>
  <si>
    <t>Task 003 of Renovation of a School Project 031</t>
  </si>
  <si>
    <t>P032</t>
  </si>
  <si>
    <t>Innovation of a Classroom Project 032</t>
  </si>
  <si>
    <t>Task 001 of Innovation of a Classroom Project 032</t>
  </si>
  <si>
    <t>Task 002 of Innovation of a Classroom Project 032</t>
  </si>
  <si>
    <t>Task 003 of Innovation of a Classroom Project 032</t>
  </si>
  <si>
    <t>P033</t>
  </si>
  <si>
    <t>Construction of a Hospital Wing Project 033</t>
  </si>
  <si>
    <t>Task 001 of Construction of a Hospital Wing Project 033</t>
  </si>
  <si>
    <t>Task 002 of Construction of a Hospital Wing Project 033</t>
  </si>
  <si>
    <t>Task 003 of Construction of a Hospital Wing Project 033</t>
  </si>
  <si>
    <t>P034</t>
  </si>
  <si>
    <t>Road Expansion Project 034</t>
  </si>
  <si>
    <t>Task 001 of Road Expansion Project 034</t>
  </si>
  <si>
    <t>Task 002 of Road Expansion Project 034</t>
  </si>
  <si>
    <t>Task 003 of Road Expansion Project 034</t>
  </si>
  <si>
    <t>P035</t>
  </si>
  <si>
    <t>Bridge Maintenance Project 035</t>
  </si>
  <si>
    <t>Task 001 of Bridge Maintenance Project 035</t>
  </si>
  <si>
    <t>Task 002 of Bridge Maintenance Project 035</t>
  </si>
  <si>
    <t>Task 003 of Bridge Maintenance Project 035</t>
  </si>
  <si>
    <t>P036</t>
  </si>
  <si>
    <t>Office Building Renovation Project 036</t>
  </si>
  <si>
    <t>Task 001 of Office Building Renovation Project 036</t>
  </si>
  <si>
    <t>Task 002 of Office Building Renovation Project 036</t>
  </si>
  <si>
    <t>Task 003 of Office Building Renovation Project 036</t>
  </si>
  <si>
    <t>P037</t>
  </si>
  <si>
    <t>Apartment Complex Development Project 037</t>
  </si>
  <si>
    <t>Task 001 of Apartment Complex Development Project 037</t>
  </si>
  <si>
    <t>Task 002 of Apartment Complex Development Project 037</t>
  </si>
  <si>
    <t>Task 003 of Apartment Complex Development Project 037</t>
  </si>
  <si>
    <t>P038</t>
  </si>
  <si>
    <t>Commercial Center Construction Project 038</t>
  </si>
  <si>
    <t>Task 001 of Commercial Center Construction Project 038</t>
  </si>
  <si>
    <t>Task 002 of Commercial Center Construction Project 038</t>
  </si>
  <si>
    <t>Task 003 of Commercial Center Construction Project 038</t>
  </si>
  <si>
    <t>P039</t>
  </si>
  <si>
    <t>Highway Reconstruction Project 039</t>
  </si>
  <si>
    <t>Task 001 of Highway Reconstruction Project 039</t>
  </si>
  <si>
    <t>Task 002 of Highway Reconstruction Project 039</t>
  </si>
  <si>
    <t>Task 003 of Highway Reconstruction Project 039</t>
  </si>
  <si>
    <t>P040</t>
  </si>
  <si>
    <t>Airport Expansion Project 040</t>
  </si>
  <si>
    <t>Task 001 of Airport Expansion Project 040</t>
  </si>
  <si>
    <t>Task 002 of Airport Expansion Project 040</t>
  </si>
  <si>
    <t>Task 003 of Airport Expansion Project 040</t>
  </si>
  <si>
    <t>P041</t>
  </si>
  <si>
    <t>Shopping Mall Renovation Project 041</t>
  </si>
  <si>
    <t>Task 001 of Shopping Mall Renovation Project 041</t>
  </si>
  <si>
    <t>Task 002 of Shopping Mall Renovation Project 041</t>
  </si>
  <si>
    <t>Task 003 of Shopping Mall Renovation Project 041</t>
  </si>
  <si>
    <t>P042</t>
  </si>
  <si>
    <t>University Dormitory Construction Project 042</t>
  </si>
  <si>
    <t>Task 001 of University Dormitory Construction Project 042</t>
  </si>
  <si>
    <t>Task 002 of University Dormitory Construction Project 042</t>
  </si>
  <si>
    <t>Task 003 of University Dormitory Construction Project 042</t>
  </si>
  <si>
    <t>P043</t>
  </si>
  <si>
    <t>Sports Stadium Upgrade Project 043</t>
  </si>
  <si>
    <t>Task 001 of Sports Stadium Upgrade Project 043</t>
  </si>
  <si>
    <t>Task 002 of Sports Stadium Upgrade Project 043</t>
  </si>
  <si>
    <t>Task 003 of Sports Stadium Upgrade Project 043</t>
  </si>
  <si>
    <t>P044</t>
  </si>
  <si>
    <t>Public Library Renovation Project 044</t>
  </si>
  <si>
    <t>Task 001 of Public Library Renovation Project 044</t>
  </si>
  <si>
    <t>Task 002 of Public Library Renovation Project 044</t>
  </si>
  <si>
    <t>Task 003 of Public Library Renovation Project 044</t>
  </si>
  <si>
    <t>P045</t>
  </si>
  <si>
    <t>Building a Park Project 045</t>
  </si>
  <si>
    <t>Task 001 of Building a Park Project 045</t>
  </si>
  <si>
    <t>Task 002 of Building a Park Project 045</t>
  </si>
  <si>
    <t>Task 003 of Building a Park Project 045</t>
  </si>
  <si>
    <t>P046</t>
  </si>
  <si>
    <t>Renovation of a School Project 046</t>
  </si>
  <si>
    <t>Task 001 of Renovation of a School Project 046</t>
  </si>
  <si>
    <t>Task 002 of Renovation of a School Project 046</t>
  </si>
  <si>
    <t>Task 003 of Renovation of a School Project 046</t>
  </si>
  <si>
    <t>P047</t>
  </si>
  <si>
    <t>Innovation of a Classroom Project 047</t>
  </si>
  <si>
    <t>Task 001 of Innovation of a Classroom Project 047</t>
  </si>
  <si>
    <t>Task 002 of Innovation of a Classroom Project 047</t>
  </si>
  <si>
    <t>Task 003 of Innovation of a Classroom Project 047</t>
  </si>
  <si>
    <t>P048</t>
  </si>
  <si>
    <t>Construction of a Hospital Wing Project 048</t>
  </si>
  <si>
    <t>Task 001 of Construction of a Hospital Wing Project 048</t>
  </si>
  <si>
    <t>Task 002 of Construction of a Hospital Wing Project 048</t>
  </si>
  <si>
    <t>Task 003 of Construction of a Hospital Wing Project 048</t>
  </si>
  <si>
    <t>P049</t>
  </si>
  <si>
    <t>Road Expansion Project 049</t>
  </si>
  <si>
    <t>Task 001 of Road Expansion Project 049</t>
  </si>
  <si>
    <t>Task 002 of Road Expansion Project 049</t>
  </si>
  <si>
    <t>Task 003 of Road Expansion Project 049</t>
  </si>
  <si>
    <t>P050</t>
  </si>
  <si>
    <t>Bridge Maintenance Project 050</t>
  </si>
  <si>
    <t>Task 001 of Bridge Maintenance Project 050</t>
  </si>
  <si>
    <t>Task 002 of Bridge Maintenance Project 050</t>
  </si>
  <si>
    <t>Task 003 of Bridge Maintenance Project 050</t>
  </si>
  <si>
    <t>P051</t>
  </si>
  <si>
    <t>Office Building Renovation Project 051</t>
  </si>
  <si>
    <t>Task 001 of Office Building Renovation Project 051</t>
  </si>
  <si>
    <t>Task 002 of Office Building Renovation Project 051</t>
  </si>
  <si>
    <t>Task 003 of Office Building Renovation Project 051</t>
  </si>
  <si>
    <t>P052</t>
  </si>
  <si>
    <t>Apartment Complex Development Project 052</t>
  </si>
  <si>
    <t>Task 001 of Apartment Complex Development Project 052</t>
  </si>
  <si>
    <t>Task 002 of Apartment Complex Development Project 052</t>
  </si>
  <si>
    <t>Task 003 of Apartment Complex Development Project 052</t>
  </si>
  <si>
    <t>P053</t>
  </si>
  <si>
    <t>Commercial Center Construction Project 053</t>
  </si>
  <si>
    <t>Task 001 of Commercial Center Construction Project 053</t>
  </si>
  <si>
    <t>Task 002 of Commercial Center Construction Project 053</t>
  </si>
  <si>
    <t>Task 003 of Commercial Center Construction Project 053</t>
  </si>
  <si>
    <t>P054</t>
  </si>
  <si>
    <t>Highway Reconstruction Project 054</t>
  </si>
  <si>
    <t>Task 001 of Highway Reconstruction Project 054</t>
  </si>
  <si>
    <t>Task 002 of Highway Reconstruction Project 054</t>
  </si>
  <si>
    <t>Task 003 of Highway Reconstruction Project 054</t>
  </si>
  <si>
    <t>P055</t>
  </si>
  <si>
    <t>Airport Expansion Project 055</t>
  </si>
  <si>
    <t>Task 001 of Airport Expansion Project 055</t>
  </si>
  <si>
    <t>Task 002 of Airport Expansion Project 055</t>
  </si>
  <si>
    <t>Task 003 of Airport Expansion Project 055</t>
  </si>
  <si>
    <t>P056</t>
  </si>
  <si>
    <t>Shopping Mall Renovation Project 056</t>
  </si>
  <si>
    <t>Task 001 of Shopping Mall Renovation Project 056</t>
  </si>
  <si>
    <t>Task 002 of Shopping Mall Renovation Project 056</t>
  </si>
  <si>
    <t>Task 003 of Shopping Mall Renovation Project 056</t>
  </si>
  <si>
    <t>P057</t>
  </si>
  <si>
    <t>University Dormitory Construction Project 057</t>
  </si>
  <si>
    <t>Task 001 of University Dormitory Construction Project 057</t>
  </si>
  <si>
    <t>Task 002 of University Dormitory Construction Project 057</t>
  </si>
  <si>
    <t>Task 003 of University Dormitory Construction Project 057</t>
  </si>
  <si>
    <t>P058</t>
  </si>
  <si>
    <t>Sports Stadium Upgrade Project 058</t>
  </si>
  <si>
    <t>Task 001 of Sports Stadium Upgrade Project 058</t>
  </si>
  <si>
    <t>Task 002 of Sports Stadium Upgrade Project 058</t>
  </si>
  <si>
    <t>Task 003 of Sports Stadium Upgrade Project 058</t>
  </si>
  <si>
    <t>P059</t>
  </si>
  <si>
    <t>Public Library Renovation Project 059</t>
  </si>
  <si>
    <t>Task 001 of Public Library Renovation Project 059</t>
  </si>
  <si>
    <t>Task 002 of Public Library Renovation Project 059</t>
  </si>
  <si>
    <t>Task 003 of Public Library Renovation Project 059</t>
  </si>
  <si>
    <t>P060</t>
  </si>
  <si>
    <t>Building a Park Project 060</t>
  </si>
  <si>
    <t>Task 001 of Building a Park Project 060</t>
  </si>
  <si>
    <t>Task 002 of Building a Park Project 060</t>
  </si>
  <si>
    <t>Task 003 of Building a Park Project 060</t>
  </si>
  <si>
    <t>P061</t>
  </si>
  <si>
    <t>Renovation of a School Project 061</t>
  </si>
  <si>
    <t>Task 001 of Renovation of a School Project 061</t>
  </si>
  <si>
    <t>Task 002 of Renovation of a School Project 061</t>
  </si>
  <si>
    <t>Task 003 of Renovation of a School Project 061</t>
  </si>
  <si>
    <t>P062</t>
  </si>
  <si>
    <t>Innovation of a Classroom Project 062</t>
  </si>
  <si>
    <t>Task 001 of Innovation of a Classroom Project 062</t>
  </si>
  <si>
    <t>Task 002 of Innovation of a Classroom Project 062</t>
  </si>
  <si>
    <t>Task 003 of Innovation of a Classroom Project 062</t>
  </si>
  <si>
    <t>P063</t>
  </si>
  <si>
    <t>Construction of a Hospital Wing Project 063</t>
  </si>
  <si>
    <t>Task 001 of Construction of a Hospital Wing Project 063</t>
  </si>
  <si>
    <t>Task 002 of Construction of a Hospital Wing Project 063</t>
  </si>
  <si>
    <t>Task 003 of Construction of a Hospital Wing Project 063</t>
  </si>
  <si>
    <t>P064</t>
  </si>
  <si>
    <t>Road Expansion Project 064</t>
  </si>
  <si>
    <t>Task 001 of Road Expansion Project 064</t>
  </si>
  <si>
    <t>Task 002 of Road Expansion Project 064</t>
  </si>
  <si>
    <t>Task 003 of Road Expansion Project 064</t>
  </si>
  <si>
    <t>P065</t>
  </si>
  <si>
    <t>Bridge Maintenance Project 065</t>
  </si>
  <si>
    <t>Task 001 of Bridge Maintenance Project 065</t>
  </si>
  <si>
    <t>Task 002 of Bridge Maintenance Project 065</t>
  </si>
  <si>
    <t>Task 003 of Bridge Maintenance Project 065</t>
  </si>
  <si>
    <t>P066</t>
  </si>
  <si>
    <t>Office Building Renovation Project 066</t>
  </si>
  <si>
    <t>Task 001 of Office Building Renovation Project 066</t>
  </si>
  <si>
    <t>Task 002 of Office Building Renovation Project 066</t>
  </si>
  <si>
    <t>Task 003 of Office Building Renovation Project 066</t>
  </si>
  <si>
    <t>P067</t>
  </si>
  <si>
    <t>Apartment Complex Development Project 067</t>
  </si>
  <si>
    <t>Task 001 of Apartment Complex Development Project 067</t>
  </si>
  <si>
    <t>Task 002 of Apartment Complex Development Project 067</t>
  </si>
  <si>
    <t>Task 003 of Apartment Complex Development Project 067</t>
  </si>
  <si>
    <t>P068</t>
  </si>
  <si>
    <t>Commercial Center Construction Project 068</t>
  </si>
  <si>
    <t>Task 001 of Commercial Center Construction Project 068</t>
  </si>
  <si>
    <t>Task 002 of Commercial Center Construction Project 068</t>
  </si>
  <si>
    <t>Task 003 of Commercial Center Construction Project 068</t>
  </si>
  <si>
    <t>P069</t>
  </si>
  <si>
    <t>Highway Reconstruction Project 069</t>
  </si>
  <si>
    <t>Task 001 of Highway Reconstruction Project 069</t>
  </si>
  <si>
    <t>Task 002 of Highway Reconstruction Project 069</t>
  </si>
  <si>
    <t>Task 003 of Highway Reconstruction Project 069</t>
  </si>
  <si>
    <t>P070</t>
  </si>
  <si>
    <t>Airport Expansion Project 070</t>
  </si>
  <si>
    <t>Task 001 of Airport Expansion Project 070</t>
  </si>
  <si>
    <t>Task 002 of Airport Expansion Project 070</t>
  </si>
  <si>
    <t>Task 003 of Airport Expansion Project 070</t>
  </si>
  <si>
    <t>P071</t>
  </si>
  <si>
    <t>Shopping Mall Renovation Project 071</t>
  </si>
  <si>
    <t>Task 001 of Shopping Mall Renovation Project 071</t>
  </si>
  <si>
    <t>Task 002 of Shopping Mall Renovation Project 071</t>
  </si>
  <si>
    <t>Task 003 of Shopping Mall Renovation Project 071</t>
  </si>
  <si>
    <t>P072</t>
  </si>
  <si>
    <t>University Dormitory Construction Project 072</t>
  </si>
  <si>
    <t>Task 001 of University Dormitory Construction Project 072</t>
  </si>
  <si>
    <t>Task 002 of University Dormitory Construction Project 072</t>
  </si>
  <si>
    <t>Task 003 of University Dormitory Construction Project 072</t>
  </si>
  <si>
    <t>P073</t>
  </si>
  <si>
    <t>Sports Stadium Upgrade Project 073</t>
  </si>
  <si>
    <t>Task 001 of Sports Stadium Upgrade Project 073</t>
  </si>
  <si>
    <t>Task 002 of Sports Stadium Upgrade Project 073</t>
  </si>
  <si>
    <t>Task 003 of Sports Stadium Upgrade Project 073</t>
  </si>
  <si>
    <t>P074</t>
  </si>
  <si>
    <t>Public Library Renovation Project 074</t>
  </si>
  <si>
    <t>Task 001 of Public Library Renovation Project 074</t>
  </si>
  <si>
    <t>Task 002 of Public Library Renovation Project 074</t>
  </si>
  <si>
    <t>Task 003 of Public Library Renovation Project 074</t>
  </si>
  <si>
    <t>P075</t>
  </si>
  <si>
    <t>Building a Park Project 075</t>
  </si>
  <si>
    <t>Task 001 of Building a Park Project 075</t>
  </si>
  <si>
    <t>Task 002 of Building a Park Project 075</t>
  </si>
  <si>
    <t>Task 003 of Building a Park Project 075</t>
  </si>
  <si>
    <t>P076</t>
  </si>
  <si>
    <t>Renovation of a School Project 076</t>
  </si>
  <si>
    <t>Task 001 of Renovation of a School Project 076</t>
  </si>
  <si>
    <t>Task 002 of Renovation of a School Project 076</t>
  </si>
  <si>
    <t>Task 003 of Renovation of a School Project 076</t>
  </si>
  <si>
    <t>P077</t>
  </si>
  <si>
    <t>Innovation of a Classroom Project 077</t>
  </si>
  <si>
    <t>Task 001 of Innovation of a Classroom Project 077</t>
  </si>
  <si>
    <t>Task 002 of Innovation of a Classroom Project 077</t>
  </si>
  <si>
    <t>Task 003 of Innovation of a Classroom Project 077</t>
  </si>
  <si>
    <t>P078</t>
  </si>
  <si>
    <t>Construction of a Hospital Wing Project 078</t>
  </si>
  <si>
    <t>Task 001 of Construction of a Hospital Wing Project 078</t>
  </si>
  <si>
    <t>Task 002 of Construction of a Hospital Wing Project 078</t>
  </si>
  <si>
    <t>Task 003 of Construction of a Hospital Wing Project 078</t>
  </si>
  <si>
    <t>P079</t>
  </si>
  <si>
    <t>Road Expansion Project 079</t>
  </si>
  <si>
    <t>Task 001 of Road Expansion Project 079</t>
  </si>
  <si>
    <t>Task 002 of Road Expansion Project 079</t>
  </si>
  <si>
    <t>Task 003 of Road Expansion Project 079</t>
  </si>
  <si>
    <t>P080</t>
  </si>
  <si>
    <t>Bridge Maintenance Project 080</t>
  </si>
  <si>
    <t>Task 001 of Bridge Maintenance Project 080</t>
  </si>
  <si>
    <t>Task 002 of Bridge Maintenance Project 080</t>
  </si>
  <si>
    <t>Task 003 of Bridge Maintenance Project 080</t>
  </si>
  <si>
    <t>P081</t>
  </si>
  <si>
    <t>Office Building Renovation Project 081</t>
  </si>
  <si>
    <t>Task 001 of Office Building Renovation Project 081</t>
  </si>
  <si>
    <t>Task 002 of Office Building Renovation Project 081</t>
  </si>
  <si>
    <t>Task 003 of Office Building Renovation Project 081</t>
  </si>
  <si>
    <t>P082</t>
  </si>
  <si>
    <t>Apartment Complex Development Project 082</t>
  </si>
  <si>
    <t>Task 001 of Apartment Complex Development Project 082</t>
  </si>
  <si>
    <t>Task 002 of Apartment Complex Development Project 082</t>
  </si>
  <si>
    <t>Task 003 of Apartment Complex Development Project 082</t>
  </si>
  <si>
    <t>P083</t>
  </si>
  <si>
    <t>Commercial Center Construction Project 083</t>
  </si>
  <si>
    <t>Task 001 of Commercial Center Construction Project 083</t>
  </si>
  <si>
    <t>Task 002 of Commercial Center Construction Project 083</t>
  </si>
  <si>
    <t>Task 003 of Commercial Center Construction Project 083</t>
  </si>
  <si>
    <t>P084</t>
  </si>
  <si>
    <t>Highway Reconstruction Project 084</t>
  </si>
  <si>
    <t>Task 001 of Highway Reconstruction Project 084</t>
  </si>
  <si>
    <t>Task 002 of Highway Reconstruction Project 084</t>
  </si>
  <si>
    <t>Task 003 of Highway Reconstruction Project 084</t>
  </si>
  <si>
    <t>P085</t>
  </si>
  <si>
    <t>Airport Expansion Project 085</t>
  </si>
  <si>
    <t>Task 001 of Airport Expansion Project 085</t>
  </si>
  <si>
    <t>Task 002 of Airport Expansion Project 085</t>
  </si>
  <si>
    <t>Task 003 of Airport Expansion Project 085</t>
  </si>
  <si>
    <t>P086</t>
  </si>
  <si>
    <t>Shopping Mall Renovation Project 086</t>
  </si>
  <si>
    <t>Task 001 of Shopping Mall Renovation Project 086</t>
  </si>
  <si>
    <t>Task 002 of Shopping Mall Renovation Project 086</t>
  </si>
  <si>
    <t>Task 003 of Shopping Mall Renovation Project 086</t>
  </si>
  <si>
    <t>P087</t>
  </si>
  <si>
    <t>University Dormitory Construction Project 087</t>
  </si>
  <si>
    <t>Task 001 of University Dormitory Construction Project 087</t>
  </si>
  <si>
    <t>Task 002 of University Dormitory Construction Project 087</t>
  </si>
  <si>
    <t>Task 003 of University Dormitory Construction Project 087</t>
  </si>
  <si>
    <t>P088</t>
  </si>
  <si>
    <t>Sports Stadium Upgrade Project 088</t>
  </si>
  <si>
    <t>Task 001 of Sports Stadium Upgrade Project 088</t>
  </si>
  <si>
    <t>Task 002 of Sports Stadium Upgrade Project 088</t>
  </si>
  <si>
    <t>Task 003 of Sports Stadium Upgrade Project 088</t>
  </si>
  <si>
    <t>P089</t>
  </si>
  <si>
    <t>Public Library Renovation Project 089</t>
  </si>
  <si>
    <t>Task 001 of Public Library Renovation Project 089</t>
  </si>
  <si>
    <t>Task 002 of Public Library Renovation Project 089</t>
  </si>
  <si>
    <t>Task 003 of Public Library Renovation Project 089</t>
  </si>
  <si>
    <t>P090</t>
  </si>
  <si>
    <t>Building a Park Project 090</t>
  </si>
  <si>
    <t>Task 001 of Building a Park Project 090</t>
  </si>
  <si>
    <t>Task 002 of Building a Park Project 090</t>
  </si>
  <si>
    <t>Task 003 of Building a Park Project 090</t>
  </si>
  <si>
    <t>P091</t>
  </si>
  <si>
    <t>Renovation of a School Project 091</t>
  </si>
  <si>
    <t>Task 001 of Renovation of a School Project 091</t>
  </si>
  <si>
    <t>Task 002 of Renovation of a School Project 091</t>
  </si>
  <si>
    <t>Task 003 of Renovation of a School Project 091</t>
  </si>
  <si>
    <t>P092</t>
  </si>
  <si>
    <t>Innovation of a Classroom Project 092</t>
  </si>
  <si>
    <t>Task 001 of Innovation of a Classroom Project 092</t>
  </si>
  <si>
    <t>Task 002 of Innovation of a Classroom Project 092</t>
  </si>
  <si>
    <t>Task 003 of Innovation of a Classroom Project 092</t>
  </si>
  <si>
    <t>P093</t>
  </si>
  <si>
    <t>Construction of a Hospital Wing Project 093</t>
  </si>
  <si>
    <t>Task 001 of Construction of a Hospital Wing Project 093</t>
  </si>
  <si>
    <t>Task 002 of Construction of a Hospital Wing Project 093</t>
  </si>
  <si>
    <t>Task 003 of Construction of a Hospital Wing Project 093</t>
  </si>
  <si>
    <t>P094</t>
  </si>
  <si>
    <t>Road Expansion Project 094</t>
  </si>
  <si>
    <t>Task 001 of Road Expansion Project 094</t>
  </si>
  <si>
    <t>Task 002 of Road Expansion Project 094</t>
  </si>
  <si>
    <t>Task 003 of Road Expansion Project 094</t>
  </si>
  <si>
    <t>P095</t>
  </si>
  <si>
    <t>Bridge Maintenance Project 095</t>
  </si>
  <si>
    <t>Task 001 of Bridge Maintenance Project 095</t>
  </si>
  <si>
    <t>Task 002 of Bridge Maintenance Project 095</t>
  </si>
  <si>
    <t>Task 003 of Bridge Maintenance Project 095</t>
  </si>
  <si>
    <t>P096</t>
  </si>
  <si>
    <t>Office Building Renovation Project 096</t>
  </si>
  <si>
    <t>Task 001 of Office Building Renovation Project 096</t>
  </si>
  <si>
    <t>Task 002 of Office Building Renovation Project 096</t>
  </si>
  <si>
    <t>Task 003 of Office Building Renovation Project 096</t>
  </si>
  <si>
    <t>P097</t>
  </si>
  <si>
    <t>Apartment Complex Development Project 097</t>
  </si>
  <si>
    <t>Task 001 of Apartment Complex Development Project 097</t>
  </si>
  <si>
    <t>Task 002 of Apartment Complex Development Project 097</t>
  </si>
  <si>
    <t>Task 003 of Apartment Complex Development Project 097</t>
  </si>
  <si>
    <t>P098</t>
  </si>
  <si>
    <t>Commercial Center Construction Project 098</t>
  </si>
  <si>
    <t>Task 001 of Commercial Center Construction Project 098</t>
  </si>
  <si>
    <t>Task 002 of Commercial Center Construction Project 098</t>
  </si>
  <si>
    <t>Task 003 of Commercial Center Construction Project 098</t>
  </si>
  <si>
    <t>P099</t>
  </si>
  <si>
    <t>Highway Reconstruction Project 099</t>
  </si>
  <si>
    <t>Task 001 of Highway Reconstruction Project 099</t>
  </si>
  <si>
    <t>Task 002 of Highway Reconstruction Project 099</t>
  </si>
  <si>
    <t>Task 003 of Highway Reconstruction Project 099</t>
  </si>
  <si>
    <t>P100</t>
  </si>
  <si>
    <t>Airport Expansion Project 100</t>
  </si>
  <si>
    <t>Task 001 of Airport Expansion Project 100</t>
  </si>
  <si>
    <t>Task 002 of Airport Expansion Project 100</t>
  </si>
  <si>
    <t>Task 003 of Airport Expansion Project 100</t>
  </si>
  <si>
    <t>Count of Project ID</t>
  </si>
  <si>
    <t>PROJECT ANALYSIS BREAKDOWN</t>
  </si>
  <si>
    <t>PROJECTS</t>
  </si>
  <si>
    <t>BUDGET</t>
  </si>
  <si>
    <t>COST</t>
  </si>
  <si>
    <t>BUDGET UTILIZED</t>
  </si>
  <si>
    <t>Sum of Budget</t>
  </si>
  <si>
    <t>Sum of Actual Cost</t>
  </si>
  <si>
    <t>Row Labels</t>
  </si>
  <si>
    <t>Grand Total</t>
  </si>
  <si>
    <t>PROJECT BY TYPE</t>
  </si>
  <si>
    <t>PROJECT BY STATUS</t>
  </si>
  <si>
    <t>PROJECT BY PRIOPRITY</t>
  </si>
  <si>
    <t>Sum of Progress</t>
  </si>
  <si>
    <t>Column Labels</t>
  </si>
  <si>
    <t>TASK</t>
  </si>
  <si>
    <t>Jan</t>
  </si>
  <si>
    <t>Feb</t>
  </si>
  <si>
    <t>Mar</t>
  </si>
  <si>
    <t>Apr</t>
  </si>
  <si>
    <t>May</t>
  </si>
  <si>
    <t>Jun</t>
  </si>
  <si>
    <t>Jul</t>
  </si>
  <si>
    <t>Aug</t>
  </si>
  <si>
    <t>STATUS</t>
  </si>
  <si>
    <t>PROJECT</t>
  </si>
  <si>
    <t>STATE</t>
  </si>
  <si>
    <t>Project</t>
  </si>
  <si>
    <t>TASK ANALYSIS</t>
  </si>
  <si>
    <t>COMPLETED</t>
  </si>
  <si>
    <t>HOURS SPENT</t>
  </si>
  <si>
    <t>COMPLETION RATE</t>
  </si>
  <si>
    <t>Count of Task ID</t>
  </si>
  <si>
    <t>Sum of Hours Spent</t>
  </si>
  <si>
    <t>Sep</t>
  </si>
  <si>
    <t>Oct</t>
  </si>
  <si>
    <t>Nov</t>
  </si>
  <si>
    <t>Dec</t>
  </si>
  <si>
    <t>Months</t>
  </si>
  <si>
    <t>task</t>
  </si>
  <si>
    <t>PROJECT BUDGET &amp; EXPENSES OVER TIME</t>
  </si>
  <si>
    <t xml:space="preserve">PROJECT BY LOCATION </t>
  </si>
  <si>
    <t>Projects</t>
  </si>
  <si>
    <t xml:space="preserve">Budget </t>
  </si>
  <si>
    <t xml:space="preserve">Cost </t>
  </si>
  <si>
    <t>Task</t>
  </si>
  <si>
    <t xml:space="preserve">Hours Spent </t>
  </si>
  <si>
    <t>TASK BY  STATUS</t>
  </si>
  <si>
    <t>HOURS SPENT by Task</t>
  </si>
  <si>
    <t>Progress by Task</t>
  </si>
  <si>
    <t xml:space="preserve">Completion Rate </t>
  </si>
  <si>
    <t>Budget Utilisation</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</si>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</sst>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409]* #,##0_ ;_-[$$-409]* \-#,##0\ ;_-[$$-409]* &quot;-&quot;??_ ;_-@_ "/>
    <numFmt numFmtId="165" formatCode="\$0.0,,&quot;M&quot;"/>
    <numFmt numFmtId="166" formatCode="\$0,&quot;K&quot;"/>
    <numFmt numFmtId="167" formatCode="0,&quot;K&quot;"/>
    <numFmt numFmtId="168" formatCode="0.0,&quot;K&quot;"/>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0"/>
      <color theme="0"/>
      <name val="Calibri"/>
      <family val="2"/>
      <scheme val="minor"/>
    </font>
    <font>
      <b/>
      <sz val="12"/>
      <color theme="4"/>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202834"/>
        <bgColor indexed="64"/>
      </patternFill>
    </fill>
    <fill>
      <patternFill patternType="solid">
        <fgColor rgb="FF7C90AE"/>
        <bgColor indexed="64"/>
      </patternFill>
    </fill>
    <fill>
      <patternFill patternType="solid">
        <fgColor theme="0"/>
        <bgColor indexed="64"/>
      </patternFill>
    </fill>
    <fill>
      <patternFill patternType="solid">
        <fgColor theme="3"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14" fontId="0" fillId="0" borderId="0" xfId="0" applyNumberFormat="1"/>
    <xf numFmtId="0" fontId="0" fillId="2" borderId="0" xfId="0" applyFill="1" applyAlignment="1">
      <alignment horizontal="center"/>
    </xf>
    <xf numFmtId="164" fontId="0" fillId="0" borderId="0" xfId="0" applyNumberFormat="1"/>
    <xf numFmtId="9" fontId="0" fillId="0" borderId="0" xfId="1" applyFont="1"/>
    <xf numFmtId="164" fontId="0" fillId="0" borderId="0" xfId="0" pivotButton="1" applyNumberFormat="1"/>
    <xf numFmtId="164" fontId="0" fillId="0" borderId="0" xfId="0" applyNumberFormat="1" applyAlignment="1">
      <alignment horizontal="left"/>
    </xf>
    <xf numFmtId="165" fontId="0" fillId="0" borderId="0" xfId="0" applyNumberFormat="1"/>
    <xf numFmtId="166" fontId="0" fillId="0" borderId="0" xfId="0" applyNumberFormat="1"/>
    <xf numFmtId="167" fontId="0" fillId="0" borderId="0" xfId="0" applyNumberFormat="1"/>
    <xf numFmtId="0" fontId="2" fillId="3" borderId="0" xfId="0" applyFont="1" applyFill="1" applyAlignment="1">
      <alignment horizontal="center"/>
    </xf>
    <xf numFmtId="1" fontId="0" fillId="0" borderId="0" xfId="0" applyNumberFormat="1"/>
    <xf numFmtId="168" fontId="0" fillId="0" borderId="0" xfId="0" applyNumberFormat="1"/>
    <xf numFmtId="164" fontId="3" fillId="4" borderId="0" xfId="0" applyNumberFormat="1" applyFont="1" applyFill="1"/>
    <xf numFmtId="0" fontId="0" fillId="5" borderId="0" xfId="0" applyFill="1" applyAlignment="1">
      <alignment horizontal="center"/>
    </xf>
    <xf numFmtId="0" fontId="0" fillId="2" borderId="0" xfId="0" applyFill="1" applyAlignment="1">
      <alignment horizontal="center" wrapText="1"/>
    </xf>
    <xf numFmtId="164" fontId="3" fillId="5" borderId="0" xfId="0" applyNumberFormat="1" applyFont="1" applyFill="1"/>
    <xf numFmtId="0" fontId="5" fillId="6" borderId="0" xfId="0" applyFont="1" applyFill="1" applyAlignment="1">
      <alignment horizontal="center" vertical="center"/>
    </xf>
    <xf numFmtId="0" fontId="0" fillId="6" borderId="0" xfId="0" applyFill="1"/>
    <xf numFmtId="0" fontId="4" fillId="6" borderId="0" xfId="0" applyFont="1" applyFill="1" applyAlignment="1">
      <alignment horizontal="center" vertical="center"/>
    </xf>
    <xf numFmtId="9" fontId="4" fillId="6" borderId="0" xfId="0" applyNumberFormat="1" applyFont="1" applyFill="1" applyAlignment="1">
      <alignment horizontal="center" vertical="center"/>
    </xf>
    <xf numFmtId="165" fontId="4" fillId="6" borderId="0" xfId="0" applyNumberFormat="1" applyFont="1" applyFill="1" applyAlignment="1">
      <alignment horizontal="center" vertical="center"/>
    </xf>
    <xf numFmtId="166" fontId="4" fillId="6" borderId="0" xfId="0" applyNumberFormat="1" applyFont="1" applyFill="1" applyAlignment="1">
      <alignment horizontal="center" vertical="center"/>
    </xf>
    <xf numFmtId="9" fontId="0" fillId="0" borderId="0" xfId="0" applyNumberFormat="1"/>
    <xf numFmtId="1" fontId="0" fillId="0" borderId="0" xfId="1" applyNumberFormat="1" applyFont="1"/>
    <xf numFmtId="1" fontId="4" fillId="6" borderId="0" xfId="0" applyNumberFormat="1" applyFont="1" applyFill="1" applyAlignment="1">
      <alignment horizontal="center" vertical="center"/>
    </xf>
  </cellXfs>
  <cellStyles count="2">
    <cellStyle name="Normal" xfId="0" builtinId="0"/>
    <cellStyle name="Per cent" xfId="1" builtinId="5"/>
  </cellStyles>
  <dxfs count="61">
    <dxf>
      <numFmt numFmtId="0" formatCode="General"/>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 formatCode="0"/>
    </dxf>
    <dxf>
      <numFmt numFmtId="164" formatCode="_-[$$-409]* #,##0_ ;_-[$$-409]* \-#,##0\ ;_-[$$-409]* &quot;-&quot;??_ ;_-@_ "/>
    </dxf>
    <dxf>
      <numFmt numFmtId="164" formatCode="_-[$$-409]* #,##0_ ;_-[$$-409]* \-#,##0\ ;_-[$$-409]* &quot;-&quot;??_ ;_-@_ "/>
    </dxf>
    <dxf>
      <numFmt numFmtId="1" formatCode="0"/>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 formatCode="0"/>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8" formatCode="0.0,&quot;K&quot;"/>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0" formatCode="General"/>
    </dxf>
    <dxf>
      <numFmt numFmtId="164" formatCode="_-[$$-409]* #,##0_ ;_-[$$-409]* \-#,##0\ ;_-[$$-409]* &quot;-&quot;??_ ;_-@_ "/>
    </dxf>
    <dxf>
      <numFmt numFmtId="164" formatCode="_-[$$-409]* #,##0_ ;_-[$$-409]* \-#,##0\ ;_-[$$-409]* &quot;-&quot;??_ ;_-@_ "/>
    </dxf>
    <dxf>
      <numFmt numFmtId="167" formatCode="0,&quot;K&quot;"/>
    </dxf>
    <dxf>
      <numFmt numFmtId="0" formatCode="General"/>
    </dxf>
    <dxf>
      <numFmt numFmtId="164" formatCode="_-[$$-409]* #,##0_ ;_-[$$-409]* \-#,##0\ ;_-[$$-409]* &quot;-&quot;??_ ;_-@_ "/>
    </dxf>
    <dxf>
      <numFmt numFmtId="164"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fill>
        <patternFill>
          <bgColor theme="6" tint="0.79998168889431442"/>
        </patternFill>
      </fill>
    </dxf>
    <dxf>
      <fill>
        <patternFill patternType="none">
          <bgColor auto="1"/>
        </patternFill>
      </fill>
    </dxf>
    <dxf>
      <fill>
        <patternFill>
          <fgColor theme="2"/>
        </patternFill>
      </fill>
    </dxf>
    <dxf>
      <fill>
        <patternFill patternType="none">
          <bgColor auto="1"/>
        </patternFill>
      </fill>
    </dxf>
    <dxf>
      <font>
        <b/>
        <i val="0"/>
        <sz val="10"/>
        <color rgb="FFA3AFC0"/>
      </font>
      <fill>
        <patternFill>
          <bgColor rgb="FF212936"/>
        </patternFill>
      </fill>
      <border diagonalUp="0" diagonalDown="0">
        <left/>
        <right/>
        <top/>
        <bottom/>
        <vertical/>
        <horizontal/>
      </border>
    </dxf>
  </dxfs>
  <tableStyles count="6" defaultTableStyle="TableStyleMedium2" defaultPivotStyle="PivotStyleLight16">
    <tableStyle name="Slicer Style 1" pivot="0" table="0" count="3" xr9:uid="{C19E8E43-71F9-4261-8489-AFA69AA469A5}">
      <tableStyleElement type="wholeTable" dxfId="60"/>
    </tableStyle>
    <tableStyle name="Slicer Style 2" pivot="0" table="0" count="0" xr9:uid="{22FFC402-DD65-4EEA-9F84-30FCE97BBD10}"/>
    <tableStyle name="Slicer Style 3" pivot="0" table="0" count="1" xr9:uid="{309D1B7A-3FC1-4AAF-94E6-B906841F39FB}">
      <tableStyleElement type="wholeTable" dxfId="59"/>
    </tableStyle>
    <tableStyle name="Slicer Style 4" pivot="0" table="0" count="1" xr9:uid="{3FB33862-41DB-4454-BCB5-9D305CAAC676}">
      <tableStyleElement type="wholeTable" dxfId="58"/>
    </tableStyle>
    <tableStyle name="Slicer Style 5" pivot="0" table="0" count="1" xr9:uid="{2C04B950-1F71-4459-9B69-FA17C0F4519E}">
      <tableStyleElement type="wholeTable" dxfId="57"/>
    </tableStyle>
    <tableStyle name="Slicer Style 6" pivot="0" table="0" count="1" xr9:uid="{1254127A-69CB-4233-9115-84A21BBD7B12}">
      <tableStyleElement type="wholeTable" dxfId="56"/>
    </tableStyle>
  </tableStyles>
  <colors>
    <mruColors>
      <color rgb="FFA3AFC0"/>
      <color rgb="FF7C90AE"/>
      <color rgb="FF212936"/>
      <color rgb="FF202834"/>
      <color rgb="FF4A5A73"/>
      <color rgb="FF6A7C96"/>
      <color rgb="FF202835"/>
      <color rgb="FF4E6382"/>
      <color rgb="FF2A3547"/>
      <color rgb="FF344256"/>
    </mruColors>
  </colors>
  <extLst>
    <ext xmlns:x14="http://schemas.microsoft.com/office/spreadsheetml/2009/9/main" uri="{46F421CA-312F-682f-3DD2-61675219B42D}">
      <x14:dxfs count="2">
        <dxf>
          <font>
            <b/>
            <i val="0"/>
            <sz val="10"/>
            <color rgb="FF202835"/>
          </font>
          <fill>
            <patternFill>
              <bgColor rgb="FF6A7C96"/>
            </patternFill>
          </fill>
          <border diagonalUp="0" diagonalDown="0">
            <left/>
            <right/>
            <top/>
            <bottom/>
            <vertical/>
            <horizontal/>
          </border>
        </dxf>
        <dxf>
          <font>
            <b/>
            <i val="0"/>
            <sz val="10"/>
            <color rgb="FF202834"/>
          </font>
          <fill>
            <patternFill>
              <bgColor rgb="FF4A5A73"/>
            </patternFill>
          </fill>
          <border diagonalUp="0" diagonalDown="0">
            <left/>
            <right/>
            <top/>
            <bottom/>
            <vertical/>
            <horizontal/>
          </border>
        </dxf>
      </x14:dxfs>
    </ext>
    <ext xmlns:x14="http://schemas.microsoft.com/office/spreadsheetml/2009/9/main" uri="{EB79DEF2-80B8-43e5-95BD-54CBDDF9020C}">
      <x14:slicerStyles defaultSlicerStyle="Slicer Style 5">
        <x14:slicerStyle name="Slicer Style 1">
          <x14:slicerStyleElements>
            <x14:slicerStyleElement type="unselectedItemWithData" dxfId="1"/>
            <x14:slicerStyleElement type="selectedItemWithData" dxfId="0"/>
          </x14:slicerStyleElements>
        </x14:slicerStyle>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ANALYSIS!PivotTable32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Projects</a:t>
            </a:r>
            <a:r>
              <a:rPr lang="en-GB" baseline="0"/>
              <a:t> by Type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ANALYSIS'!$B$9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ANALYSIS'!$A$10:$A$15</c:f>
              <c:strCache>
                <c:ptCount val="5"/>
                <c:pt idx="0">
                  <c:v>Maintenance</c:v>
                </c:pt>
                <c:pt idx="1">
                  <c:v>Innovation</c:v>
                </c:pt>
                <c:pt idx="2">
                  <c:v>Construction</c:v>
                </c:pt>
                <c:pt idx="3">
                  <c:v>Renovation</c:v>
                </c:pt>
                <c:pt idx="4">
                  <c:v>Other</c:v>
                </c:pt>
              </c:strCache>
            </c:strRef>
          </c:cat>
          <c:val>
            <c:numRef>
              <c:f>' ANALYSIS'!$B$10:$B$15</c:f>
              <c:numCache>
                <c:formatCode>General</c:formatCode>
                <c:ptCount val="5"/>
                <c:pt idx="0">
                  <c:v>2</c:v>
                </c:pt>
                <c:pt idx="1">
                  <c:v>2</c:v>
                </c:pt>
                <c:pt idx="2">
                  <c:v>16</c:v>
                </c:pt>
                <c:pt idx="3">
                  <c:v>16</c:v>
                </c:pt>
                <c:pt idx="4">
                  <c:v>18</c:v>
                </c:pt>
              </c:numCache>
            </c:numRef>
          </c:val>
          <c:extLst>
            <c:ext xmlns:c16="http://schemas.microsoft.com/office/drawing/2014/chart" uri="{C3380CC4-5D6E-409C-BE32-E72D297353CC}">
              <c16:uniqueId val="{00000000-A95C-4706-B30D-905802FD4234}"/>
            </c:ext>
          </c:extLst>
        </c:ser>
        <c:dLbls>
          <c:dLblPos val="outEnd"/>
          <c:showLegendKey val="0"/>
          <c:showVal val="1"/>
          <c:showCatName val="0"/>
          <c:showSerName val="0"/>
          <c:showPercent val="0"/>
          <c:showBubbleSize val="0"/>
        </c:dLbls>
        <c:gapWidth val="115"/>
        <c:overlap val="-20"/>
        <c:axId val="1622428928"/>
        <c:axId val="1622423168"/>
      </c:barChart>
      <c:catAx>
        <c:axId val="16224289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423168"/>
        <c:crosses val="autoZero"/>
        <c:auto val="1"/>
        <c:lblAlgn val="ctr"/>
        <c:lblOffset val="100"/>
        <c:noMultiLvlLbl val="0"/>
      </c:catAx>
      <c:valAx>
        <c:axId val="16224231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42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ANALYSIS!PivotTable34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Projects By Priority</a:t>
            </a:r>
          </a:p>
        </c:rich>
      </c:tx>
      <c:layout>
        <c:manualLayout>
          <c:xMode val="edge"/>
          <c:yMode val="edge"/>
          <c:x val="0.14327666151468318"/>
          <c:y val="5.11508951406649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 ANALYSIS'!$F$9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BB-4AD3-96BE-03BCD6F899F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BB-4AD3-96BE-03BCD6F899F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BB-4AD3-96BE-03BCD6F899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ANALYSIS'!$E$10:$E$13</c:f>
              <c:strCache>
                <c:ptCount val="3"/>
                <c:pt idx="0">
                  <c:v>High</c:v>
                </c:pt>
                <c:pt idx="1">
                  <c:v>Low</c:v>
                </c:pt>
                <c:pt idx="2">
                  <c:v>Medium</c:v>
                </c:pt>
              </c:strCache>
            </c:strRef>
          </c:cat>
          <c:val>
            <c:numRef>
              <c:f>' ANALYSIS'!$F$10:$F$13</c:f>
              <c:numCache>
                <c:formatCode>General</c:formatCode>
                <c:ptCount val="3"/>
                <c:pt idx="0">
                  <c:v>27</c:v>
                </c:pt>
                <c:pt idx="1">
                  <c:v>11</c:v>
                </c:pt>
                <c:pt idx="2">
                  <c:v>16</c:v>
                </c:pt>
              </c:numCache>
            </c:numRef>
          </c:val>
          <c:extLst>
            <c:ext xmlns:c16="http://schemas.microsoft.com/office/drawing/2014/chart" uri="{C3380CC4-5D6E-409C-BE32-E72D297353CC}">
              <c16:uniqueId val="{00000006-7EBB-4AD3-96BE-03BCD6F899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ANALYSIS!PivotTable33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 By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ANALYSIS'!$B$19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ANALYSIS'!$A$20:$A$24</c:f>
              <c:strCache>
                <c:ptCount val="4"/>
                <c:pt idx="0">
                  <c:v>On Hold</c:v>
                </c:pt>
                <c:pt idx="1">
                  <c:v>Completed</c:v>
                </c:pt>
                <c:pt idx="2">
                  <c:v>Behind</c:v>
                </c:pt>
                <c:pt idx="3">
                  <c:v>On Track</c:v>
                </c:pt>
              </c:strCache>
            </c:strRef>
          </c:cat>
          <c:val>
            <c:numRef>
              <c:f>' ANALYSIS'!$B$20:$B$24</c:f>
              <c:numCache>
                <c:formatCode>General</c:formatCode>
                <c:ptCount val="4"/>
                <c:pt idx="0">
                  <c:v>11</c:v>
                </c:pt>
                <c:pt idx="1">
                  <c:v>13</c:v>
                </c:pt>
                <c:pt idx="2">
                  <c:v>15</c:v>
                </c:pt>
                <c:pt idx="3">
                  <c:v>15</c:v>
                </c:pt>
              </c:numCache>
            </c:numRef>
          </c:val>
          <c:extLst>
            <c:ext xmlns:c16="http://schemas.microsoft.com/office/drawing/2014/chart" uri="{C3380CC4-5D6E-409C-BE32-E72D297353CC}">
              <c16:uniqueId val="{00000000-39CB-4AC1-897D-3529DE7E0281}"/>
            </c:ext>
          </c:extLst>
        </c:ser>
        <c:dLbls>
          <c:showLegendKey val="0"/>
          <c:showVal val="0"/>
          <c:showCatName val="0"/>
          <c:showSerName val="0"/>
          <c:showPercent val="0"/>
          <c:showBubbleSize val="0"/>
        </c:dLbls>
        <c:gapWidth val="150"/>
        <c:overlap val="100"/>
        <c:axId val="690503135"/>
        <c:axId val="690486815"/>
      </c:barChart>
      <c:catAx>
        <c:axId val="690503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486815"/>
        <c:crosses val="autoZero"/>
        <c:auto val="1"/>
        <c:lblAlgn val="ctr"/>
        <c:lblOffset val="100"/>
        <c:noMultiLvlLbl val="0"/>
      </c:catAx>
      <c:valAx>
        <c:axId val="6904868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0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ANALYSIS!PivotTable37</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Project Budget &amp; Expenses Overtime</a:t>
            </a:r>
          </a:p>
        </c:rich>
      </c:tx>
      <c:layout>
        <c:manualLayout>
          <c:xMode val="edge"/>
          <c:yMode val="edge"/>
          <c:x val="0.17517697026899484"/>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ANALYSIS'!$B$27</c:f>
              <c:strCache>
                <c:ptCount val="1"/>
                <c:pt idx="0">
                  <c:v>Sum of Budget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ANALYSIS'!$A$28:$A$36</c:f>
              <c:strCache>
                <c:ptCount val="8"/>
                <c:pt idx="0">
                  <c:v>Jan</c:v>
                </c:pt>
                <c:pt idx="1">
                  <c:v>Feb</c:v>
                </c:pt>
                <c:pt idx="2">
                  <c:v>Mar</c:v>
                </c:pt>
                <c:pt idx="3">
                  <c:v>Apr</c:v>
                </c:pt>
                <c:pt idx="4">
                  <c:v>May</c:v>
                </c:pt>
                <c:pt idx="5">
                  <c:v>Jun</c:v>
                </c:pt>
                <c:pt idx="6">
                  <c:v>Jul</c:v>
                </c:pt>
                <c:pt idx="7">
                  <c:v>Aug</c:v>
                </c:pt>
              </c:strCache>
            </c:strRef>
          </c:cat>
          <c:val>
            <c:numRef>
              <c:f>' ANALYSIS'!$B$28:$B$36</c:f>
              <c:numCache>
                <c:formatCode>General</c:formatCode>
                <c:ptCount val="8"/>
                <c:pt idx="0">
                  <c:v>267344</c:v>
                </c:pt>
                <c:pt idx="1">
                  <c:v>166966</c:v>
                </c:pt>
                <c:pt idx="2">
                  <c:v>155876</c:v>
                </c:pt>
                <c:pt idx="3">
                  <c:v>213038</c:v>
                </c:pt>
                <c:pt idx="4">
                  <c:v>223592</c:v>
                </c:pt>
                <c:pt idx="5">
                  <c:v>278028</c:v>
                </c:pt>
                <c:pt idx="6">
                  <c:v>232082</c:v>
                </c:pt>
                <c:pt idx="7">
                  <c:v>150354</c:v>
                </c:pt>
              </c:numCache>
            </c:numRef>
          </c:val>
          <c:extLst>
            <c:ext xmlns:c16="http://schemas.microsoft.com/office/drawing/2014/chart" uri="{C3380CC4-5D6E-409C-BE32-E72D297353CC}">
              <c16:uniqueId val="{00000000-6B5B-499B-8223-5085FA0AE97B}"/>
            </c:ext>
          </c:extLst>
        </c:ser>
        <c:dLbls>
          <c:showLegendKey val="0"/>
          <c:showVal val="0"/>
          <c:showCatName val="0"/>
          <c:showSerName val="0"/>
          <c:showPercent val="0"/>
          <c:showBubbleSize val="0"/>
        </c:dLbls>
        <c:gapWidth val="219"/>
        <c:overlap val="-27"/>
        <c:axId val="690476735"/>
        <c:axId val="690508415"/>
      </c:barChart>
      <c:lineChart>
        <c:grouping val="standard"/>
        <c:varyColors val="0"/>
        <c:ser>
          <c:idx val="1"/>
          <c:order val="1"/>
          <c:tx>
            <c:strRef>
              <c:f>' ANALYSIS'!$C$27</c:f>
              <c:strCache>
                <c:ptCount val="1"/>
                <c:pt idx="0">
                  <c:v>Sum of Actual 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 ANALYSIS'!$A$28:$A$36</c:f>
              <c:strCache>
                <c:ptCount val="8"/>
                <c:pt idx="0">
                  <c:v>Jan</c:v>
                </c:pt>
                <c:pt idx="1">
                  <c:v>Feb</c:v>
                </c:pt>
                <c:pt idx="2">
                  <c:v>Mar</c:v>
                </c:pt>
                <c:pt idx="3">
                  <c:v>Apr</c:v>
                </c:pt>
                <c:pt idx="4">
                  <c:v>May</c:v>
                </c:pt>
                <c:pt idx="5">
                  <c:v>Jun</c:v>
                </c:pt>
                <c:pt idx="6">
                  <c:v>Jul</c:v>
                </c:pt>
                <c:pt idx="7">
                  <c:v>Aug</c:v>
                </c:pt>
              </c:strCache>
            </c:strRef>
          </c:cat>
          <c:val>
            <c:numRef>
              <c:f>' ANALYSIS'!$C$28:$C$36</c:f>
              <c:numCache>
                <c:formatCode>General</c:formatCode>
                <c:ptCount val="8"/>
                <c:pt idx="0">
                  <c:v>80477</c:v>
                </c:pt>
                <c:pt idx="1">
                  <c:v>54532</c:v>
                </c:pt>
                <c:pt idx="2">
                  <c:v>80206</c:v>
                </c:pt>
                <c:pt idx="3">
                  <c:v>52009</c:v>
                </c:pt>
                <c:pt idx="4">
                  <c:v>76867</c:v>
                </c:pt>
                <c:pt idx="5">
                  <c:v>82083</c:v>
                </c:pt>
                <c:pt idx="6">
                  <c:v>58311</c:v>
                </c:pt>
                <c:pt idx="7">
                  <c:v>33936</c:v>
                </c:pt>
              </c:numCache>
            </c:numRef>
          </c:val>
          <c:smooth val="0"/>
          <c:extLst>
            <c:ext xmlns:c16="http://schemas.microsoft.com/office/drawing/2014/chart" uri="{C3380CC4-5D6E-409C-BE32-E72D297353CC}">
              <c16:uniqueId val="{00000001-6B5B-499B-8223-5085FA0AE97B}"/>
            </c:ext>
          </c:extLst>
        </c:ser>
        <c:dLbls>
          <c:showLegendKey val="0"/>
          <c:showVal val="0"/>
          <c:showCatName val="0"/>
          <c:showSerName val="0"/>
          <c:showPercent val="0"/>
          <c:showBubbleSize val="0"/>
        </c:dLbls>
        <c:marker val="1"/>
        <c:smooth val="0"/>
        <c:axId val="690476735"/>
        <c:axId val="690508415"/>
      </c:lineChart>
      <c:catAx>
        <c:axId val="690476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08415"/>
        <c:crosses val="autoZero"/>
        <c:auto val="1"/>
        <c:lblAlgn val="ctr"/>
        <c:lblOffset val="100"/>
        <c:noMultiLvlLbl val="0"/>
      </c:catAx>
      <c:valAx>
        <c:axId val="6905084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47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ANALYSIS!PivotTable45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Tasks by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 ANALYSIS'!$B$46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6D6-4DF2-A32D-2AB406E88D7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6D6-4DF2-A32D-2AB406E88D7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6D6-4DF2-A32D-2AB406E88D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ANALYSIS'!$A$47:$A$50</c:f>
              <c:strCache>
                <c:ptCount val="3"/>
                <c:pt idx="0">
                  <c:v>Completed</c:v>
                </c:pt>
                <c:pt idx="1">
                  <c:v>In Progress</c:v>
                </c:pt>
                <c:pt idx="2">
                  <c:v>Pending</c:v>
                </c:pt>
              </c:strCache>
            </c:strRef>
          </c:cat>
          <c:val>
            <c:numRef>
              <c:f>' ANALYSIS'!$B$47:$B$50</c:f>
              <c:numCache>
                <c:formatCode>General</c:formatCode>
                <c:ptCount val="3"/>
                <c:pt idx="0">
                  <c:v>14</c:v>
                </c:pt>
                <c:pt idx="1">
                  <c:v>21</c:v>
                </c:pt>
                <c:pt idx="2">
                  <c:v>19</c:v>
                </c:pt>
              </c:numCache>
            </c:numRef>
          </c:val>
          <c:extLst>
            <c:ext xmlns:c16="http://schemas.microsoft.com/office/drawing/2014/chart" uri="{C3380CC4-5D6E-409C-BE32-E72D297353CC}">
              <c16:uniqueId val="{00000006-D6D6-4DF2-A32D-2AB406E88D7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ANALYSIS!PivotTable48</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ANALYSIS'!$B$60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ANALYSIS'!$A$61:$A$64</c:f>
              <c:strCache>
                <c:ptCount val="3"/>
                <c:pt idx="0">
                  <c:v>T001</c:v>
                </c:pt>
                <c:pt idx="1">
                  <c:v>T002</c:v>
                </c:pt>
                <c:pt idx="2">
                  <c:v>T003</c:v>
                </c:pt>
              </c:strCache>
            </c:strRef>
          </c:cat>
          <c:val>
            <c:numRef>
              <c:f>' ANALYSIS'!$B$61:$B$64</c:f>
              <c:numCache>
                <c:formatCode>0</c:formatCode>
                <c:ptCount val="3"/>
                <c:pt idx="0">
                  <c:v>16.03</c:v>
                </c:pt>
                <c:pt idx="1">
                  <c:v>3.45</c:v>
                </c:pt>
                <c:pt idx="2">
                  <c:v>12.75</c:v>
                </c:pt>
              </c:numCache>
            </c:numRef>
          </c:val>
          <c:extLst>
            <c:ext xmlns:c16="http://schemas.microsoft.com/office/drawing/2014/chart" uri="{C3380CC4-5D6E-409C-BE32-E72D297353CC}">
              <c16:uniqueId val="{00000000-0DDE-43BB-BD84-CECEC3852309}"/>
            </c:ext>
          </c:extLst>
        </c:ser>
        <c:dLbls>
          <c:dLblPos val="outEnd"/>
          <c:showLegendKey val="0"/>
          <c:showVal val="1"/>
          <c:showCatName val="0"/>
          <c:showSerName val="0"/>
          <c:showPercent val="0"/>
          <c:showBubbleSize val="0"/>
        </c:dLbls>
        <c:gapWidth val="115"/>
        <c:overlap val="-20"/>
        <c:axId val="214957487"/>
        <c:axId val="214965647"/>
      </c:barChart>
      <c:catAx>
        <c:axId val="214957487"/>
        <c:scaling>
          <c:orientation val="minMax"/>
        </c:scaling>
        <c:delete val="0"/>
        <c:axPos val="r"/>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14965647"/>
        <c:crosses val="autoZero"/>
        <c:auto val="1"/>
        <c:lblAlgn val="ctr"/>
        <c:lblOffset val="100"/>
        <c:noMultiLvlLbl val="0"/>
      </c:catAx>
      <c:valAx>
        <c:axId val="214965647"/>
        <c:scaling>
          <c:orientation val="maxMin"/>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1495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ANALYSIS!PivotTable46</c:name>
    <c:fmtId val="4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ANALYSIS'!$B$53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ANALYSIS'!$A$54:$A$57</c:f>
              <c:strCache>
                <c:ptCount val="3"/>
                <c:pt idx="0">
                  <c:v>T001</c:v>
                </c:pt>
                <c:pt idx="1">
                  <c:v>T002</c:v>
                </c:pt>
                <c:pt idx="2">
                  <c:v>T003</c:v>
                </c:pt>
              </c:strCache>
            </c:strRef>
          </c:cat>
          <c:val>
            <c:numRef>
              <c:f>' ANALYSIS'!$B$54:$B$57</c:f>
              <c:numCache>
                <c:formatCode>0.0,"K"</c:formatCode>
                <c:ptCount val="3"/>
                <c:pt idx="0">
                  <c:v>505</c:v>
                </c:pt>
                <c:pt idx="1">
                  <c:v>105</c:v>
                </c:pt>
                <c:pt idx="2">
                  <c:v>450</c:v>
                </c:pt>
              </c:numCache>
            </c:numRef>
          </c:val>
          <c:extLst>
            <c:ext xmlns:c16="http://schemas.microsoft.com/office/drawing/2014/chart" uri="{C3380CC4-5D6E-409C-BE32-E72D297353CC}">
              <c16:uniqueId val="{00000000-EE3D-4509-82E3-609C1407C871}"/>
            </c:ext>
          </c:extLst>
        </c:ser>
        <c:dLbls>
          <c:dLblPos val="outEnd"/>
          <c:showLegendKey val="0"/>
          <c:showVal val="1"/>
          <c:showCatName val="0"/>
          <c:showSerName val="0"/>
          <c:showPercent val="0"/>
          <c:showBubbleSize val="0"/>
        </c:dLbls>
        <c:gapWidth val="115"/>
        <c:overlap val="-20"/>
        <c:axId val="214970447"/>
        <c:axId val="214958447"/>
      </c:barChart>
      <c:catAx>
        <c:axId val="21497044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4958447"/>
        <c:crosses val="autoZero"/>
        <c:auto val="1"/>
        <c:lblAlgn val="ctr"/>
        <c:lblOffset val="100"/>
        <c:noMultiLvlLbl val="0"/>
      </c:catAx>
      <c:valAx>
        <c:axId val="214958447"/>
        <c:scaling>
          <c:orientation val="minMax"/>
        </c:scaling>
        <c:delete val="0"/>
        <c:axPos val="b"/>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14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Task</a:t>
            </a:r>
            <a:r>
              <a:rPr lang="en-GB" baseline="0"/>
              <a:t> Progress by Month</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areaChart>
        <c:grouping val="stacked"/>
        <c:varyColors val="0"/>
        <c:ser>
          <c:idx val="0"/>
          <c:order val="0"/>
          <c:tx>
            <c:strRef>
              <c:f>' ANALYSIS'!$H$40</c:f>
              <c:strCache>
                <c:ptCount val="1"/>
                <c:pt idx="0">
                  <c:v>task</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ANALYSIS'!$G$41:$G$48</c:f>
              <c:strCache>
                <c:ptCount val="8"/>
                <c:pt idx="0">
                  <c:v> Feb </c:v>
                </c:pt>
                <c:pt idx="1">
                  <c:v>Apr</c:v>
                </c:pt>
                <c:pt idx="2">
                  <c:v>Jun</c:v>
                </c:pt>
                <c:pt idx="3">
                  <c:v>Jul</c:v>
                </c:pt>
                <c:pt idx="4">
                  <c:v>Aug</c:v>
                </c:pt>
                <c:pt idx="5">
                  <c:v>Sep</c:v>
                </c:pt>
                <c:pt idx="6">
                  <c:v>Grand Total</c:v>
                </c:pt>
                <c:pt idx="7">
                  <c:v>0</c:v>
                </c:pt>
              </c:strCache>
            </c:strRef>
          </c:cat>
          <c:val>
            <c:numRef>
              <c:f>' ANALYSIS'!$H$41:$H$48</c:f>
              <c:numCache>
                <c:formatCode>General</c:formatCode>
                <c:ptCount val="8"/>
                <c:pt idx="0">
                  <c:v>1</c:v>
                </c:pt>
                <c:pt idx="1">
                  <c:v>3</c:v>
                </c:pt>
                <c:pt idx="2">
                  <c:v>1</c:v>
                </c:pt>
                <c:pt idx="3">
                  <c:v>3</c:v>
                </c:pt>
                <c:pt idx="4">
                  <c:v>2</c:v>
                </c:pt>
                <c:pt idx="5">
                  <c:v>4</c:v>
                </c:pt>
                <c:pt idx="6">
                  <c:v>14</c:v>
                </c:pt>
                <c:pt idx="7">
                  <c:v>0</c:v>
                </c:pt>
              </c:numCache>
            </c:numRef>
          </c:val>
          <c:extLst>
            <c:ext xmlns:c16="http://schemas.microsoft.com/office/drawing/2014/chart" uri="{C3380CC4-5D6E-409C-BE32-E72D297353CC}">
              <c16:uniqueId val="{00000000-59E1-4D3B-A4A5-B2CFFEAE18FA}"/>
            </c:ext>
          </c:extLst>
        </c:ser>
        <c:dLbls>
          <c:showLegendKey val="0"/>
          <c:showVal val="1"/>
          <c:showCatName val="0"/>
          <c:showSerName val="0"/>
          <c:showPercent val="0"/>
          <c:showBubbleSize val="0"/>
        </c:dLbls>
        <c:axId val="215001167"/>
        <c:axId val="215000687"/>
      </c:areaChart>
      <c:lineChart>
        <c:grouping val="standard"/>
        <c:varyColors val="0"/>
        <c:ser>
          <c:idx val="1"/>
          <c:order val="1"/>
          <c:tx>
            <c:strRef>
              <c:f>' ANALYSIS'!$I$40</c:f>
              <c:strCache>
                <c:ptCount val="1"/>
                <c:pt idx="0">
                  <c:v>task</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 ANALYSIS'!$G$41:$G$48</c:f>
              <c:strCache>
                <c:ptCount val="8"/>
                <c:pt idx="0">
                  <c:v> Feb </c:v>
                </c:pt>
                <c:pt idx="1">
                  <c:v>Apr</c:v>
                </c:pt>
                <c:pt idx="2">
                  <c:v>Jun</c:v>
                </c:pt>
                <c:pt idx="3">
                  <c:v>Jul</c:v>
                </c:pt>
                <c:pt idx="4">
                  <c:v>Aug</c:v>
                </c:pt>
                <c:pt idx="5">
                  <c:v>Sep</c:v>
                </c:pt>
                <c:pt idx="6">
                  <c:v>Grand Total</c:v>
                </c:pt>
                <c:pt idx="7">
                  <c:v>0</c:v>
                </c:pt>
              </c:strCache>
            </c:strRef>
          </c:cat>
          <c:val>
            <c:numRef>
              <c:f>' ANALYSIS'!$I$41:$I$48</c:f>
              <c:numCache>
                <c:formatCode>General</c:formatCode>
                <c:ptCount val="8"/>
                <c:pt idx="0">
                  <c:v>1</c:v>
                </c:pt>
                <c:pt idx="1">
                  <c:v>3</c:v>
                </c:pt>
                <c:pt idx="2">
                  <c:v>1</c:v>
                </c:pt>
                <c:pt idx="3">
                  <c:v>3</c:v>
                </c:pt>
                <c:pt idx="4">
                  <c:v>2</c:v>
                </c:pt>
                <c:pt idx="5">
                  <c:v>4</c:v>
                </c:pt>
                <c:pt idx="6">
                  <c:v>14</c:v>
                </c:pt>
                <c:pt idx="7">
                  <c:v>0</c:v>
                </c:pt>
              </c:numCache>
            </c:numRef>
          </c:val>
          <c:smooth val="0"/>
          <c:extLst>
            <c:ext xmlns:c16="http://schemas.microsoft.com/office/drawing/2014/chart" uri="{C3380CC4-5D6E-409C-BE32-E72D297353CC}">
              <c16:uniqueId val="{00000001-59E1-4D3B-A4A5-B2CFFEAE18FA}"/>
            </c:ext>
          </c:extLst>
        </c:ser>
        <c:dLbls>
          <c:showLegendKey val="0"/>
          <c:showVal val="1"/>
          <c:showCatName val="0"/>
          <c:showSerName val="0"/>
          <c:showPercent val="0"/>
          <c:showBubbleSize val="0"/>
        </c:dLbls>
        <c:marker val="1"/>
        <c:smooth val="0"/>
        <c:axId val="215001167"/>
        <c:axId val="215000687"/>
      </c:lineChart>
      <c:catAx>
        <c:axId val="21500116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000687"/>
        <c:crosses val="autoZero"/>
        <c:auto val="1"/>
        <c:lblAlgn val="ctr"/>
        <c:lblOffset val="100"/>
        <c:noMultiLvlLbl val="0"/>
      </c:catAx>
      <c:valAx>
        <c:axId val="2150006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21500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Management Dashboard.xlsx] ANALYSIS!PivotTable52</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Task Status Trend By Month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 ANALYSIS'!$F$54:$F$55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ANALYSIS'!$E$56:$E$68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ANALYSIS'!$F$56:$F$68</c:f>
              <c:numCache>
                <c:formatCode>0</c:formatCode>
                <c:ptCount val="12"/>
                <c:pt idx="1">
                  <c:v>1</c:v>
                </c:pt>
                <c:pt idx="3">
                  <c:v>3</c:v>
                </c:pt>
                <c:pt idx="5">
                  <c:v>1</c:v>
                </c:pt>
                <c:pt idx="6">
                  <c:v>3</c:v>
                </c:pt>
                <c:pt idx="7">
                  <c:v>2</c:v>
                </c:pt>
                <c:pt idx="8">
                  <c:v>4</c:v>
                </c:pt>
              </c:numCache>
            </c:numRef>
          </c:val>
          <c:extLst>
            <c:ext xmlns:c16="http://schemas.microsoft.com/office/drawing/2014/chart" uri="{C3380CC4-5D6E-409C-BE32-E72D297353CC}">
              <c16:uniqueId val="{00000000-084D-404F-B8DA-C3B65CE8653A}"/>
            </c:ext>
          </c:extLst>
        </c:ser>
        <c:ser>
          <c:idx val="1"/>
          <c:order val="1"/>
          <c:tx>
            <c:strRef>
              <c:f>' ANALYSIS'!$G$54:$G$55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ANALYSIS'!$E$56:$E$68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ANALYSIS'!$G$56:$G$68</c:f>
              <c:numCache>
                <c:formatCode>0</c:formatCode>
                <c:ptCount val="12"/>
                <c:pt idx="0">
                  <c:v>3</c:v>
                </c:pt>
                <c:pt idx="1">
                  <c:v>1</c:v>
                </c:pt>
                <c:pt idx="2">
                  <c:v>2</c:v>
                </c:pt>
                <c:pt idx="5">
                  <c:v>2</c:v>
                </c:pt>
                <c:pt idx="6">
                  <c:v>3</c:v>
                </c:pt>
                <c:pt idx="7">
                  <c:v>1</c:v>
                </c:pt>
                <c:pt idx="8">
                  <c:v>2</c:v>
                </c:pt>
                <c:pt idx="9">
                  <c:v>2</c:v>
                </c:pt>
                <c:pt idx="10">
                  <c:v>3</c:v>
                </c:pt>
                <c:pt idx="11">
                  <c:v>2</c:v>
                </c:pt>
              </c:numCache>
            </c:numRef>
          </c:val>
          <c:extLst>
            <c:ext xmlns:c16="http://schemas.microsoft.com/office/drawing/2014/chart" uri="{C3380CC4-5D6E-409C-BE32-E72D297353CC}">
              <c16:uniqueId val="{00000001-084D-404F-B8DA-C3B65CE8653A}"/>
            </c:ext>
          </c:extLst>
        </c:ser>
        <c:ser>
          <c:idx val="2"/>
          <c:order val="2"/>
          <c:tx>
            <c:strRef>
              <c:f>' ANALYSIS'!$H$54:$H$55</c:f>
              <c:strCache>
                <c:ptCount val="1"/>
                <c:pt idx="0">
                  <c:v>Pending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 ANALYSIS'!$E$56:$E$68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ANALYSIS'!$H$56:$H$68</c:f>
              <c:numCache>
                <c:formatCode>0</c:formatCode>
                <c:ptCount val="12"/>
                <c:pt idx="0">
                  <c:v>1</c:v>
                </c:pt>
                <c:pt idx="2">
                  <c:v>1</c:v>
                </c:pt>
                <c:pt idx="3">
                  <c:v>1</c:v>
                </c:pt>
                <c:pt idx="4">
                  <c:v>3</c:v>
                </c:pt>
                <c:pt idx="5">
                  <c:v>3</c:v>
                </c:pt>
                <c:pt idx="7">
                  <c:v>3</c:v>
                </c:pt>
                <c:pt idx="8">
                  <c:v>3</c:v>
                </c:pt>
                <c:pt idx="9">
                  <c:v>1</c:v>
                </c:pt>
                <c:pt idx="10">
                  <c:v>2</c:v>
                </c:pt>
                <c:pt idx="11">
                  <c:v>1</c:v>
                </c:pt>
              </c:numCache>
            </c:numRef>
          </c:val>
          <c:extLst>
            <c:ext xmlns:c16="http://schemas.microsoft.com/office/drawing/2014/chart" uri="{C3380CC4-5D6E-409C-BE32-E72D297353CC}">
              <c16:uniqueId val="{00000002-084D-404F-B8DA-C3B65CE8653A}"/>
            </c:ext>
          </c:extLst>
        </c:ser>
        <c:dLbls>
          <c:showLegendKey val="0"/>
          <c:showVal val="0"/>
          <c:showCatName val="0"/>
          <c:showSerName val="0"/>
          <c:showPercent val="0"/>
          <c:showBubbleSize val="0"/>
        </c:dLbls>
        <c:gapWidth val="150"/>
        <c:overlap val="100"/>
        <c:axId val="690515135"/>
        <c:axId val="690513215"/>
      </c:barChart>
      <c:catAx>
        <c:axId val="690515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13215"/>
        <c:crosses val="autoZero"/>
        <c:auto val="1"/>
        <c:lblAlgn val="ctr"/>
        <c:lblOffset val="100"/>
        <c:noMultiLvlLbl val="0"/>
      </c:catAx>
      <c:valAx>
        <c:axId val="69051321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05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Projects by Location</cx:v>
        </cx:txData>
      </cx:tx>
      <cx:txPr>
        <a:bodyPr spcFirstLastPara="1" vertOverflow="ellipsis" horzOverflow="overflow" wrap="square" lIns="0" tIns="0" rIns="0" bIns="0" anchor="ctr" anchorCtr="1"/>
        <a:lstStyle/>
        <a:p>
          <a:pPr algn="ctr" rtl="0">
            <a:defRPr/>
          </a:pPr>
          <a:r>
            <a:rPr lang="en-GB" sz="1600" b="1" i="0" u="none" strike="noStrike" baseline="0">
              <a:ln>
                <a:noFill/>
              </a:ln>
              <a:solidFill>
                <a:sysClr val="window" lastClr="FFFFFF">
                  <a:lumMod val="95000"/>
                </a:sysClr>
              </a:solidFill>
              <a:latin typeface="+mn-lt"/>
              <a:ea typeface="Calibri Light" panose="020F0302020204030204" pitchFamily="34" charset="0"/>
              <a:cs typeface="Calibri Light" panose="020F0302020204030204" pitchFamily="34" charset="0"/>
            </a:rPr>
            <a:t>Projects by Location</a:t>
          </a:r>
        </a:p>
      </cx:txPr>
    </cx:title>
    <cx:plotArea>
      <cx:plotAreaRegion>
        <cx:series layoutId="regionMap" uniqueId="{84D4AEF3-8710-49FA-A0E2-D120927ECB32}">
          <cx:tx>
            <cx:txData>
              <cx:f>_xlchart.v5.2</cx:f>
              <cx:v>Project</cx:v>
            </cx:txData>
          </cx:tx>
          <cx:dataLabels>
            <cx:visibility seriesName="0" categoryName="0" value="1"/>
          </cx:dataLabels>
          <cx:dataId val="0"/>
          <cx:layoutPr>
            <cx:geography cultureLanguage="en-GB" cultureRegion="GB" attribution="Powered by Bing">
              <cx:geoCache provider="{E9337A44-BEBE-4D9F-B70C-5C5E7DAFC167}">
                <cx:binary>1HzZbtzIsu2vGH4+VGcyJ+bG7gNcsqo0Wh5kebf9QsiSmskxyeTMr7+LKrm3Ve2Wb8ONC7geTIhk
5RDDiogVWf737fSv2+L+xr2YyqJq/3U7/frSdF39r19+aW/NfXnTHpXprbOt/b07urXlL/b339Pb
+1/u3M2YVskvPqH8l1tz47r76eX//hujJff2wt7edKmt3vb3bn533/ZF1z7z7JuPXtzclWm1SdvO
pbcd/fXli+imSH+3rkpvXrx8cV91aTe/n+v7X18+efPli18Ox/vT3C8KLK/r7/Bdpo58waXUVJOH
D335orBV8vjYo1QfSap8RTnVD58vc1/elPj+fxf1Py+uq7S7v3tx1d109+2X1761xIcF3tzdufu2
xT4frs8O9WSHePP/vHxxa/uqW6WbQNC/vjyYO21ttH8hsus2r68e5PLLU/38778PbkBSB3e+UuGh
WL/36E8aPL63LklvnpPM31SefyR54Adc028qL2BHnHOmOAn2z9mXuffKe1zQD2vur8Y5UNvxz6m2
y/vxxUfr8i+y+5ZF/z29cf9IM+1zxvw/9PK10ylxJPFESMr3Pie/zL3X25cV/bDi/nKgA81dfvwp
HW7d3tm9a+/nL/L7B3RHjijTRAv26HP+U8BU/EiqQCAu7FWn+Ze5/6u7/Zr+Ee39xVCH+jv7KfW3
K6xL7/5BwPSDI6GFoD7TT7UW+Ec8UIz7AfvDI/chdq+1x5X8sMr+apwDfe0ufkp9nRZFWtn02dj/
N5ES3uZzyoUge3cKDvSmjygPJBOBeHS3p972ZUU/rLi/HOhAc6c/p+ZepbcmTW6qL9L7B3CSHwWK
K62CRyA81Jw4UoxopZF5PnwOYtyXFf2w5v5yoAPNvTr9KX3uPzetQSHS2X9Sd+qIU8qECqCe9aOe
eh31yZEQSD0J3wdB+sVu9mj53zX9sPaeGepAf//5ObPLN/dV1c7FcIO67osU/wHvI0eBRlX3mPcT
Ag09yTDVUcCCQCv1X1z9Ot59vaof1uGzgx1o8c3PqcVL6zqDCt1ZRMB/UI9MHAmmmRKAym95okL8
CwQLpJT7vOUARZ+u64c1+Z3hDnR5Gf2UiPrapPYf9UROhWBcqz8yy689EZknfBAJjP+lYPgy9x5L
19X8sN6+OciBtl6f/JTa+pCCU/lHsROUGCqEQDP5GP0OMhcVHK3AytmXzEY81diXFf2w1v5yoAPN
ffg5MfP9/XTzD5YKjB5xyQIe0G+TYVofMRAuCHn+Hkqh1q9D3sNyflhn3x7lQGHvf/spXO15inUv
u32q8uTNv8tA6yNBkGuCp/wmQEJvhAZMMv1Ihh0QKgfM718v69us88HXn+zk/xOt/NeU8x/M/eam
u9k+UP5fsc7PP/1CVx989dHmv6m3vexO73596XNI+Y9GwjrEE185ENrB9+5v2u7Xl56UR1oxJlFG
MPQXOEFuMt6vj9BPWCFWE4CsQPchgCtWawb160tFj5jgCur2A+oDWVvbr/dpAMrUF4iRFL0IjYbE
H92WN7aYE1v9IY3Hv19UffnGplXXossB4rvev7bubp0RNYyWlPlKagYKHc9vb96hkMLb9H8KmrmK
jrm4D2jc9Xrr17z2iojUQ7p8EKKv8xvuOdHuqmZuZ77p/EmYKfJsTD4nleOVF1l/ytWZNmLuN7n2
quZk1GXRvipEWXtzaPNJ1J9F3mWT3UBWRcaiRClO79Vk5/5dYSZV3ASBqONbVrJGXiYybWoWljRt
sRReC1e+NpR0Y7VJCuHyOrSjKMsLquYGS07Kks7nfsmq7HevHSy+85VKvyEkFHlPZASS0+caZd5a
SEBcsIivZaRomfZGmuA+Hm2VNSddyQt+UvChdepkaZMuHaMlrdG0Kkic+vHu+ekpiNSn8yvFFANL
HjBoCot5Ov+SsaCVRKZ3Gc1ZnkadZYKZUGvfa7Kdm8bEdRtnuoSb0OPeUldvRs7m1o8oX+TIzjpp
qjYPrW2Yo5daBA2ePb9ImPDXa1QEIQX8E3IFUPWrWT5d42RSzzeOeXfScwPxN8miEtXsioB3jISV
66T8lAsSdyAf/nC37+tmnZdrrnxfEF8H7HDeup+tsh4L7pIZNifDgdRF+5vhsV8l4Zilffq6itHn
7EJjrO/L8PnpwZYebFshzqL1pDkSV/jQ020nYkg9Mhl256lCNSwSI5HiBo7kdad2SVVxmXrU0lcs
b+b+Km8JWUwIHqOAUP7uSgIVSC5FQDRBiCBPV2KUiYtsJu6OyxEut5upXGi+E27sW75Ng5jLT66H
CJqwlUrJT5bMg9PbIbWkHr+jFcDTU7EIH6SIEIEUEqphB9bQyZRkc17Ft7FeKuGObVOX8bz14rLV
8/EcuAkm8vz+6QGSKSI0UtEHR2WA0+BAAIleMqHrzvtsUqdK72TqzOoQ5WQNeqT9mPGFR2nZzn4d
TtpnEIRIiemvylpmc1R51FVXujSlqzaNsM5/Vw5p1X5+fpkrnn6FtwpsEuGccEEVMJzJAyzpxzhw
pFmmz5PrHIyA9DmBfsg0MuGFk2ODd1X7ebM6TTfa9ZLWSf8d/fxJWJRKhSSRIH/njAPanlpL0Pht
N7fSfq4K4QHDM6DXMobDTLpZnLNYAPfbpHf5TZmJCojq6tJRcRJ4mTfkYWOAtivyzwbfqtKlGM75
lNe2/A6s0EMHQ9sd5YePTpIPDUt5EJ8mNla1rhb2uY196ZXbrGvron/TLF1aV9HYzA0W56lywDM7
N6WdN0G+zN7VWNfxaatdkSVRuSxkPi9NU3VxWGki4y7qBfGKd7LUyVJGaJNMgETfy2ZanZFFFxg1
T+Oxab7jphR80xMD8CUFIaUlAa0o0YM5QAxYZtUM1VB/UsKKTEQ1QQ+tCeO419pFdFEeoD2e9+hZ
9BzP+gc4qWkc4NE0dkw2u35k3/chfojiPrINDUeiaAytvntgFvmUt2VsbP2pdvCiZsvaPOCvfGrY
fM7afoY4dDwUy4fSTPOswt64sTERAH+U75Jmib0TV/Js+eC8vpWXQSrXBGHiQ1no47wXq3psyzRM
aB6UGN7VLsuXD0sh8zEPSVGsQSuF9KEgW2mDm2x2yESCcpqgOyayGZd2IUkXbGrRsnYnVb/qLp+S
FAlG8zC9DhJvHsPAThmGsEgesPLUq9bcoKtFmd9MrayaeqcHR4crzuzSXTiXxy4sitL5ZeQlcTmd
JBzB9WMVVDH/MJCBwshUkCDPGJrKIkV5HhsOURPSV0Qp5PhcSbRVD0yDxXOVUF0XnxZati4JJ5+o
ug1Hm9nilPXNCKB4fsZDNPIVsMiniNuUI3Yfztg60pqxZONHtvSrMY49X+HPb1WO4C2HRshPccYW
GOHo912bvFIAFtjp88tY09knTsGUlL5CrEC72OfIkp/C0cKGvvG0LD+UvCo7Fna2F969bUwDNDJ5
W9Gti5VN3wxtkABxaiNssk2Czh9sGCg1FkPY+UlzXsSBvJqYK4I5bEcqh3dd4JE0asQy2XMYETFh
Rnic1iGPJV2d3RDYoR0MsovTOMu71fMHLthrH/G+nkOWOzYNx8/v+BDXAoYAhXQDu14rOtQET3ec
y9hUY9Oq66GvCJJY4ZyPJHZYVrvlSLL4iaHjBLOdcs1wSbqHzNaT9WrSrM9GP76KJ7matN+kS+lO
0tpnK0Q2S0vorimGuk2PFzHn8Lp4LNecms5BCe9UtIEbPb8l/wDZAmRAAcImUA0aBPdwANUNq8rF
ZpV/HXSGwbe6OlkX0HmsX133wY9x2GPG2mIzrS4OrFwhxdUNAo1nKNJ4Oon1lm3yNr8pdKb4SToW
qxyaebTyMm4mvJUatm5xTkrZ7nJPObarAzewNpoRL7Dd72ztoALA1jRFT5zCVYhAF/Zga92UU1X0
dr5mybAiVecamNZSLKm97UiQ+1U4d7ZZPii/WuNj6VkKhUyyLJJ5u5SSdslOM68fr5GlOohjVBmD
9bFhAZpUqadhYnws6hXdesDmSerXI2CtQ0aCCdMuJvgLNRaFKMqEQxRdp4zXRaLoM7iE0X6Gv/by
WaEwBzv/XKZ94KMB0gVkV8oXAcpO8qdUl44Ll7NsvPdDqSzQYZ/e+iaYhjxCZWmS6nuwcBCO1ik5
Q2JPEJaIRNb01ElIZpG11pN63/YUFtLNXQeDQuyHfHhWcyu28ejZqQ1lwWYIvBjiCikLQA9SGt1U
dG+UbIM428UdDwAGcMjhnQMtjQhQenD8bqoQqB7VljRjBVFORVDBV+BFqzqSfFoV4WUpxUXPmR7e
EVtarETkOWJTLru1Tn1e2lyzp5iIza9BACBBceLwzxUV0sHWS8g0vzdmlkUcdn3O6igeSZxdSn/h
bt42xsk6CLXv68yEzjVpc0aKnk0irJHteOcuKT3+Ki6NYlEz2im5JWlBTsa453KTq8oWdzwrFveu
tLLEQc+FFuNrPlAyLZsgq7Soowb5Y9vvxlEEw6VrTDzZUJakpBeMOKo3VeU0jbKp610c2iloliw0
1eD4FCVTPsAZhsWNcxFOnsh4ttM+7fmVLLqZJxGZaD/2x7UeDY2Rv8VJd9oZhcwsUksxLgvKWphi
fTrlc9yHTVtncjdolbCNKL1peT9K66cfel4k8YbxzqfRjPrUzqFMulZvdOqPeZSIIjlRPus2jSXj
ch7ripBjOlLj7xKvDQzZ1rkt+fUshiT3rrUl0/R+6ibWvfLarvLeIWKo/k44Kd31ooaksmFtLTXt
Wz0tRX4cp2A3dovlQWlDnVvmm0i5pW2Cz7TMgurO+LUdpg1MZW7udd+NI4nyYmxpdtLFVSOCDeoA
UcjjuPRyeamp8vL8eJC13xbm3gQV6yDlibLA8VcLswNMeqGurc1bJkknybaqeF2r017HqSkuKjHl
TbLNhqQbh4tRxEma7mJejr14F1c+a05lxk0S7GArkuVhPSwEYb1og3TUYeJx2XQbE7slm0/HpPVM
ejymJaJNlOuRA2CHOu3Fb9brpWhPYRyjF0cjQ9pCL/saWZcOu5kFk3xd+Erh0u1vemla4Bn6QBzT
Lbblzeelb7Q/nGXS1Yl/QifPUyqaM5H36niqMloWoeDDGheJ8FJsJ2ECQeVmimdJdJQJo0Xyeh7r
sVZvstjLxmKncub59WnezzoYXsuMiVSHjdYrJ6FcJ0z+QSVx7C3nnBctJOXNDSD7FVC7MeLcY7FT
xQVNm5QWb7JszIJ4O2YAgmRrUxyLcxEga13SPHgF8bckMXPabEidZy7YVB3xRPWbn/gV5iuzQuvr
PgmaJnIovSFZP+hTRJCISrMOgvUjZQmbRq85PTctdh/VhlZM7jIzrhJjRZfjYlvTeVdVqVbI50OX
BCrSY2dhAEuFfOO4067Ee/V+q6YTC8TXZAofxJI2xmyFoSgyK5qu6qE1N774Dy2mVc4V1xm4JK/3
HFThVXlg+H3ToKBpdi5NkWlFY0Bn1URpYETvQYO8b/oPXVb1aQV5eWaxx6ZfOJ1eBZlal5xC0/Vy
JWFZmIHhUfM59qbVwKTzVs2L2cO9QperaIaB4lWE2KAZsYahajFt9Lgf5xhrPoNwM7gnptrKq1zw
WLOIjxoEUFgrQyGLR+uJl1ZjSJV56+bibn4QRg+rcdFjjqvFIta/WCvyV4ykzrt6FLW3f/2LkPfv
gSnw81fKr0ssgFaeGT7nqaxTd5xWbMamG3/B+fow8VmSkisU4InVodgryi5DB1ND5d275LSieo5F
SHMzzPK1LnsLKQ1+WeAVvwbH5iLQHPGgw5zMa9KblMLHzUIlpPms9xK0NTwIuLbfk/FT1GhRbSs5
0pO5D9bqnOxVuzcPGecF5CN5im9shSrWzU9yNrDThLp1GsONxM3ZNkSZ68VLed+dYadsFe/ekJZ+
7rFKbHIdhaauxffQ2WCwrrYz69L3AvWWccEftmCWq61HRJVnp4sv1FQfJwQkEtmOaW/h0zpLVuaj
HaHfdFB+85nKpIL5tAIZKzbvBiS7r1tw2euA/rBe+JAEuBQVWd2hXMS6/qqXiRmv+yIpknRXJQHG
NQ2jCTvJ21nR7pztbSXNWt2p40eR62xwWM6UshyDIAJYTJ7VaY44P9BmkeQamVsWDJu68boqjUib
xJhcZAY/Vdh0RQ1uswBhAMoGajL9qbLJ6s494ivu5XMvs2CXI1mc5jOm22KyJx23pCyjQvOiHMK4
TUAbUk17vG+6psUFSaMoLsumx79zOYK3E2SkoIoacPnF5ZB3MUiB0WWYnZrEDh9kFU+oAuJ5WW1/
1IDybDexxgfCBM4UfbAtSoTYcjt5VazbU6ERqqaPRE4Z8CYprM3zk0c6OesK47JdbwrUu7czb3GU
+6TODMRxzB58prFBAYG18ZjHywdmAjt21w0bzShPuv3WJ520EBGrpyXHjvJkbMVWLoQC5TrHV/HR
qV6tBnzVauJ7/jRo8xESoL2/7rdLUx8XBwPH+00K9tEL02IBr6y5n1c6BGUxy/IVq6nDG3Kmaw07
iL6FXe1JloWKwsW7vmpc7J8mcbNgjGVPvcUoy8EaNoLnoChjmqP0LUvUTlXUFSAmxHmZy9WfOj6m
IOGTPOgAlUzGM2JeOwNpsh1qvVV4fcpWqsDvgxxcfFZUCb7u5gK7/DgiPYu9szFunUsvNctWktL2
CHevVB4z2b3loLHmeDvFmTebnRxrUbQbUBdU8lCBBJKfeMIoSnIEQw3lLx5fsCtZlWvYKEW8mpvz
HYXx7SWZdRZMNEtJyoazcRFlrN7mSz96Vw7JNFiFpW60/AS8hX15Y71AAhkn6x7iuvIA/igvV5aq
SJGvIrPWpR3rT1LPpqGf+VTI4lLKpp7jHfdt23m/jynNpniLiMYKEbYF+G8vCgqq3AcwkmPevSdJ
kyVJFIuZmendqJDbNHd6SIfG/9jGAaiJY5f3Q6kjz1/a/MPCe5/bsEd0mFDsU2qRUyoldE97WHmZ
aT8acNNTQ6hGdKamzeNO9rps6gwEcYQDKvO6rQe4KYphxT89JyuaIPtfnTdty/WN6oG9jzN/vSco
8fDGnMzrizEDO1FuUbmvvY20iGu4coJsMb5cupnW2wyOunqlLtcnjyaLnBJIpAWaPWgBPFDwK5x6
SeSm2TEVUt+R4E1vVDLacCQVCHs+L7H2T8emWr088ZaVDmzRJ8KFIy3rTpuFwL45Qf/hErzluvI8
Rafx0+NEwmmEtAam4l3tK7YqzRaVh1lV9/xtvgesfE80NgFdyWivaFYSsnXScb4pk7KxcWga2XtX
fSpq7Lkb0cUbzlI/WdM4wyfMoYZiXVb/4HCezRFHwlj0q5PX/tpm3FTjtNqkihc/T0Nh2qostyYr
4I27vUDAA6+gl+OgM8blLfWyc+OzQgXfIb4OCnpwOcAHWLAPcJP0T7Sy6XCAAny1f2WslVi1SpIJ
3jBawGzj8dWDigHEiwmHtFnX/p3q7mltt04v114Nfj0hKOY/KGxdP1lvbBWoqj00ZuCAsQrUAfCk
56c6INDhTQTHCTAXKCv8K9ey/qsG7xjkTRAjlfxiIySfrI2aOub8NQ4tr9atpVmV2qcZNGy541DZ
Izg+v5anFIIgBPYT0PWUHtrhsHP/6Vrigfmgb7PkSqOrJj+lgq75eNviBwnbxSJ1/p6c/zwhjriA
OJCB9kEu6gNeMTeO0KIk8btmqhAokhwR/1TNOWDu0bOf3yBdabv/tnfWHYK7JULh2JRP0Y46mHAq
Mp5UXSHfPSLGaJaVtJ8lm4XYTbwNhl1Wx4t7249szjZlX614zhygwWsXjnj0nRU9tXSsCKVUoBG8
lBYcFN0B0Thr4o1qZs27Yu9UI/I6+PjU5zFwPQ2GFCowvJ/hmZohOCC18My6kKxmTb9EQ4PKfidK
ZgUJJ0DLHAHqG7wO/4jpZToz1JPRuO9n1XuYfX4Th2qE4jhhRKBjQikNDrusiLtN50/ecGnafEWm
5SERqltR9W9nL+g5fovw/051CTRAJBcEilw/64nSp3aqJmQjfkD6y8ewNyWmyUJigaw2dC1+P/D3
5gPlTwMwiwBuuOqf4ICNMZjoIc0u92EJSfKqDZUX8IuqbdaA8fyEK758ZaYwCLSfODwQ51E4GM0D
PnOclyl1i8hPVOW5XESqLBX7JB0c5nsu+OepoLoAHbyAo9JXh1BXxn4594lMTvapyCDAjsCO/KbE
5fldPR7F+Gpj4AoxlcYBGYIfewbBYbuQEPRlVGraY7f4xLRbX0zraYSecL+3v7dLhR56ZNsE3KoO
y3hBtRh2IuloeY5ojSM4SWTzGszPhc/BPZA3ZSySxJ7MyA2EvYynNKfTHMU+Wk4f26YpUQa5zOdV
sy2LfvG7iFgi23ITOAGq7YJN1DL5Ru/7eblEMcJex1VJm+lVnphB48hMP8iUghPJcFTjBIWGSstN
4WU1VPGYoCgPXzNhvk8rkKEHCBbyAcb2pUY+EkD3aEof0I3ScE0DxsH3kNBaP0CdUPk9XkCKJXt1
ydpiTea8fW5TozkKbyd1QJc0zNuupEtYtU5X6UbWqsj68Avl0SBsmvAxkXnIoNBZGyHfpQnWIK6a
AcwSaotc+ts6sJiyzFFVDGcE3Yo0iYqpbFFPgc8vsuKaIe3V7FLOneb1aSaJt5IB7eDAs877OkyP
c8uajcn7ErQrGBiFLkOYmS6wceT1NhlJGTY44C/8N7rRtRq3SQPnbt6LWQ+LfY9+w9rRQg5IfHlp
uxZNhPdpDbY52eAQEo4T7IxrKM2ikiLp/H1G6dkGZ0JOo/+JimnugkvQZnH9ttI6y/1tVrUeQSUM
4Ji6CEe50EvfVnaGbjfj5C9uDokHZmKIkJpREUQzn+PxItdt1y4h2tFjimpaBw590dSQ9piTohs/
S1Lms9nEHAl3FZaqKt1vFZgXrw+DfcvtEYsa9MMTeRGUwO1sV5lC+j2y6Ic8C8T3mifOVbcGnb1p
FA/ZYKWKHCWb0zgRU4eDI7KkQLLEKizDz3M/HHNv0O8B4ja4qivtFbsyFYkITZKMV2JORbaZ0zE+
TvnATlLCltPSTcMJmAz7TjnpR5MW5lKlXUHAGQ/ufQyjPuGJsG0I7zOfM1cXvyUktZtJ0xi1aMG6
YxS7oJT8SpwHNflkc7hjNdbyQo5pvVHcGGiXeG6XqYlvM5v2r5es6MgWWXm3DWbCClisLG9N3V/5
lNfnjnvJeTm03Va0oKBx9iU5GWyvN0aPwVtVmwZ9/Tq9S9sm3hSmTsKZV9VGxLo5Cxa/3M1xhS5w
VQuOoYO5inhWqd2IIU8D1GOf3WT7Y5x7iO8anRfH+USLJZx1JnYmI/aq5uDmwwIUTRt6zCbX47QE
N4VXCZTyffl+DPx0S/yOnHGiTRpaz2MXHDTdznVtdd9mKn4L8jDFeaWO6TuKVg/qGVrTd4OfmXRX
z5W3pW3ZvWsHDsIBULBp56k/Y62b81CUYxDFSscm+C0dfD2f4gRCf9v6PKNb29cdypy0NHM44CD+
fdAJVW682HNnpcZxhA2nXfZ2GliOOqm056LtaBPFgbE3JGvriwk/sD9vJV0tNBZrDzUZxrMJ6ewr
ovLhFOy3d5bmzPibAOh3R8eRVeGyBNSgbK69j2PdjPeN502Rn9Llpm0z6+NEQY3jg8vSwnJNURch
Tky5flMvYz6dyT5pkpDQOr2cqQIQo6SKhpEV7Ay/yirqMzc1bufXvX8uinIKwfR+EON8S/o4vuQU
7jO0fbcBtUjSMJnKQW3EbNmWq666rA13H+d6Qk5G0N5O2rDPcQYij1SaiDr0esZv0Jm2IfOL6tiC
KAh9UnZvJ1rlb1szd3mUd11y3Zi5+c1NdemHzdRPUUxdnYUZ1oeOawDODY43mSXiUzC+0X5riqha
huwmK+slRJOn/IAfkzZhXQ/0rUYT4bT2XRD1jsRnPK34TRvI6SID3z+g7cB7TBp3Ydx7DSrSPrmQ
gWfTsKC5vnEekppNgPwsC0XWNm/kKPMdgF7KSKeLOumoNW9wTgdnO0bjrn1b1cdDP9HjrB7kjWPx
9Yg6+XppyiU4bmo+h1lTJvczBHJsOtX3W6SB81XntIhDxxt0bPOkC4kZhlOp8/q4QR5Kw0S1+lpX
nf7Mppq9z1xsPw/LsNz3MPDNoKz/iuNgwTFBpNg0U9NdIb/0QjFWw4Xn2vzTQmx1zAoa42QW6ORL
MxOOWDYBkUiWBuCDRC5PFBozUd1W2XEueneNs10M6x/8M0oqtsskaz+Cl2ve6Mq4EzoX+qos3XKe
tFmznRQgF2VwmV5WnHRnrufjm6qN3XsXBPyW5QPAwW/m4ZLPJZwHnNZryrr+fHJqPE3HiVnwNkF1
HMuSb1Ae44QlaA99unguvohj494ufmCuA1AnH5sl6N4j4CcncDb1aqFehzNMMt0VOhYX6HBTFnWl
LjbBMlcM9u6q3ZJ49k0OCv5NMtm6iXAyhOzcmDUf667nCYrrZblwmvfnOKiUgx0o7fuELboEZpfT
lqk8OKHo+UVDvfDXwZAwMPPOu/NiH2fQLmbBl1RHczkh192oHpR2cJELNqhuS/C/QBRdWOg6vhi9
OnkDlqW49PhcfSg6d4PvJCB6U/qhLZHBZL3KLied4filqGl6pm3tf+q9uB+jwozkFY769NepPwzN
sfELxiNtqDrnsXXBTpOy0melCeoN+rh8CQf0uzeBXkoVZkunh7BkcXVpPfT7z2evUZC1JGPnLho9
oNFDJ0fH04o35Ws2ce+tqnRaR3Jyxm6Nrt27LEmHcouW72zOyzS36cZzlcAhxDim3rEa2nZ5NweV
683xmnqQjW7+L3tn2ls3jmbhX6SGdkrAYIDRcjfb17tj54sQOwlFUhKphRSpXz/nVqq7kuqeavT3
AYICqsqO76JLve85zzm2spMCr5pcqTgJ7ORTVwYEk0uZ9LoxN1BL+FxGOqBPK9mkK6XfpdfA9Zqg
WgOMiFcLFvHlJWHY/iacI5NakhSDEx2AFR3MkpJTElp/4E9b5JrQFM6Ofq5PIQ47/5jFcAT2Y+eG
qWrNnOjH3KOCg8ChXT4Vk9fQTpRenNtHFoGaKcI27u6lC7xtv2LR5KVPxtC/XnNuhzKcoOPfkA7H
aQVAbqsklK0TDxdWou5GnBbP2Znfds5L8y3Cyz/4tq+g0/TiQmmpMOlvlyXm2VK5lKddCIF9lvg8
ZLA3Sx24sK/jQHfttWjhzhb9AJm33BY7DkXUOxg/RHNxGFicyJrCKLwRDDJpxS2zh4jGQValmd8S
SGJ8Co6CTgp2pE6IK8IV7ne6hMvZS3JLyp438VyQWESQ4qDZvQTKm76aHKNJNCkX7qVsgqimpg11
WGKEaz1ZwpsHirYWpE0fnBdLgsFMZ451JU7SBV8gfY9Z9oFDaMzSulWdKhI6BjavRU8C0tYqtDJJ
bgLPpPoZZm7fHPiYxV+oMZ+3raXPtFWfaa4SXmBN6B9XsB11kzXT3sfNw8chkU6wv8h21bmwO08R
0zvTTnmpRrWpggDTVEXfJ/3jNHRpNU2pK3TGYpyvZuk/FtpsOyI72HjUNjdwGDO/DOy8jtWGm018
l89t9EgAEE0VM9B6cD3gginAw61fA6nEvRqHOatnQuj1LAf5qMd5obW21DRHqMaUFF5v82Mv+ViF
w9jtxNgkj4PwgzpfWnklmsS7CYWNr0IF01LSGeZ1jrWoCsMGeV5N9H6zYdgVPsFNuPJzM861ClJ5
Bj+4Lkc1rU2Rz6tvy1FQXsbpbFSRB30DhhRApD7OKZ5c7SByP24NqjAa+N7jnsNfqyZ8KNdic2I6
4y6Pmz9LRVcxjvkCD6F5wF2H7TTJ01IPqn3hjAafobzZHaCdfC/9vN8RRfidx/2pNH3avvpD/9xx
kGAUi9uOhA1/k2u4yCKJpHyL/GY66TBqbNFMlmclgzh6alSIJ019KNzMmhLLbnTLsZaczBqwD9FG
5LNoaPAqgmi9NnBuq0SN8hhBMn6B+B6Ky5lmVRFxf7xJmybC3IrD8XIRxh+xuCzDbugvd20bzu/S
ZB6ru5TBCIWYLNPjkAxMlvPE7AKvaZMQC8nKgzLqcI4Uqcd4ctOpOXxv23YRRdjhMRS8I21WCvy9
JeQvXBOtU8mxT3VIqqUFyDlh1hL01Cu5fFLY2tpSqCjyP+PGu05F7mWrOXiLSKtFce/AxiR8vnAD
u2AzQhfMeeo2SSx/1yZTuD1g89xJ3YCGkk0SXcO6m66UA1RSTBQjzbWdtXoX4WJZOUNmNAUznf1Y
FofPCj6U2NO0gor51cC1MgUcOVMP3EQniNQUyBSzG4Z5YKPfYiCkza4n7XIVO+xvhYdxZKm6ZvSS
2ht7ML/+ZpKXZe66N6KMLcUczVXne6N/1isJHuGuZTmoIMxwRbqsbbdfMVSdcPoNa23HtuUY5XKM
nqA4PHmO2jXwSt1cSDzX+4mqJ2WQMACRgouojNu+5bEwO2pSWCm9KLnAkDbVlzXWlI0bWYiZOhqa
7XWY9SBuQxmsc4WtohE40vJUbqqcAk07t/f8kA/xbaqjJitEMLLoSwds1BtK42WWNzsYZsL6N6KV
qcxLbNs2VoXe2n7WJcENN3FVC/8q6woNmjt21WBc04srlzVh5JezxgKm7joDdSgqLDDvXO8mrUb2
SqmIJa1WfFRgoyCNEw1TYewo02VHMasNR91qr/8+j7M1Sd2Cf+qHOhnhtT02fgjvZa8ASi1DNbnY
8/kd10rgfYg94FKag2SGB2CAuePpf+u9nPh4HWc+uCpXrU1eE7hM7eMPsdZTF8Nh6fKLNBoGjVVX
iDNerHvwAhcfBJ/DjXylcePbdA+uesPnbQzmnL1ptbZeWwwZhC4Pm23D1xS3CBzHy4tuIShk1wsG
Snv2ee67uNR01qPYb3C38G7hlsclf48yPZi+SrpFu+Eq0nh6W4EKtjCcS0AvUd88RkuiWFqnAFVZ
dPK1Hp0Eh8QWzDjYHei4UyrjOI+9RVYCFNJNCJgLo7vKcWK6nGGIyuI9W0jvnIIKa6CkshJIle7W
uKaDjVlXqxXETQ7tYJDZ9YbRL6sbr0sbuGCmyZUugnjM45q4LYr38P36F5Xp7tkDXbMUoUT4rIg1
Pjs1aJP+qz8ITFmg39tJ1DKd87YyEzgVW2zhCPNxS7X7jbI/5YyaO4il5gAdmF1Lv4lKEab6hgfO
9bWKesBaJocRrLzuked2JccRIxwpokG5uLDDKob9tPigGG2m1gHhHCO+qs1vBI7WuG+KFPdRXS3R
5h5m5q0WA4LX1ZhAsSE2XCXJfkrjpa+aPrPv3tZYp4qArmPwkAkmkgrNhMPHhHKVqZi5wWowbJ7B
NjLxoK0xTkzzQbeJMF+pZy+KCybqcCg30dIdclqm8Xa9DjLAOeGYD2Xjx1LWsfPnQzBL8taZLg7m
kjQhlSUERZZgQyVuPvdZ6usq9BO9vAJ9ADZRTAqUXQmmYzQYkIIQXBHErTPF5t0X8Yg5/MbCcLPF
GglSE5F2J4/OEii7ThCuAFuneqAbodNzlQ1JDkvKW9o9cgt4Y4ilXhGBrTuMqht5qSGYvW8AFnBt
NPm99nyJ57mpXRooe+fwZldx3mR5zcFWfPMAL0E85IpeeziG589YLtf2nvB+ukxdUcgOmGDS0xST
hL3jiIzcPjIxf5Br1NwAk6Rf6RTglc/WzQJXazSUkW1jtlDMX58zm+i7depaPAXE2OAOk17iNCU9
wgoiyR8CyIekyrlcjwFEC1atYGM+rVGMHGEi5vgwxJwDT5ySx7GhcreEg/+aTnNQ5AQcYjt1Gwj9
eXMFIkfujExlyKpQzwahrm4AIJ8zk5sjTSfQafOwAQelzWrxcPPugkZgGy7VQFy4g0MEn9WPECys
qIkMjl4PeQdWLIoAL4zoPGIoGNx8E2mlr2kYmKzyE6rIDiCEelotWUAdLwOeJWgA8jme2owWPQbw
29G7TLwzYtlDgZnasSIVTQ4cRYysrXBD5yCvIJfcbT0UgGJLlUprYQDYVZHfs3obLb6HJsDpgI30
qjKR+r7O7VCHzWzLdUncG8FpYa7sMkyq6kaTPczJtGj8uCQZsRAwqEB9KG+irgmvsrYTBJhQ4/pi
Cpr8yvPa8N11TJysp+Y7sHq8BAMWfkEqRg/wGUjuSpbMfCrJGjNX6dXxueimbGlq3bKsw/k7Rd0V
D0KX7JZ0TV68plX2DOVKRBADZO+KTvXBG8tBPBQ9QIyzBGHi12RNHJaCPESqYWz8pK/7gLdPIrHT
WuK+iakO83nVRtOYXV639HaNVsjQUSibc9b10esIyoIWRndv0dzL12mRskAdELRHEJUApajBJd9N
b9RbfYrZynqlh8njZtKI98zQXT4PVHvHieNDXU1MkNtFL/K0JCOyHhMR19AFyMFr/OwFijEjuAxo
+q7CLapt7M8PZnLhUcxyCUtusvUyrfk90JkBEg+Z5+wwR+2QVlvuYXDqWW73QxKa7gFpWVZNELeq
CZd6XI5RomuML8HV4GQLNnANXtvG2de8WYJCzdpHdDIRdZ91zXdgxX4VJ/HynGHc3wdxE7xLEOiv
Pr4lKTyLFw7I/ysyN9mNhcm/V2bBpy7TXwAoL3dK+64pskX6AT4H211OPYGJJoj7Pe4H04A1Y46q
jABOwXdfr2M4feIQO6rMYlEZkSneCtsG8sXLuviRt1HclzFU/aNSQwArDKSliKIPp6H+T7VQ0IOm
d9ygRG8qeOBIMb1io5W9epjiWcbJ7cLbEaf8jEIesEnTiPwzIAHreD/Ca4DhKG9jB5TG7dcQWY2w
iqRvl/bo67bn2xEgt1ueG2bX5CMZYikOXGb9EpdNPPmLV2UmidcJh5cAzQJPC3wEzwOW+hXAu2DD
2Jj5jpWTSCffHrWzUDGLNLTJLo6HNfucDsOCQ2VUorMdzrGk9ZMKcx44hcpzKaUAWmIwVsCRMcaD
qnLIQuNDA4w9ToCCtkp+80fPkbmCoQlQr57V6kQLx5JRAVpI0eYCkeMaHGGDUE43f7w3UbZghWGR
TafpRWZrY3gFIzbD3ofIELP8zLmctazmNc3SoPZVpOfxXYvNBK7A36KYK1cZYyQrNtXiZDg0yDPz
vIRifXkmcUr9vNu31BoyftIe3cKkYE0m8P/AwpPUXnnLjIX5iru56dLS+nlGzO7f2HO/BkRg/iFA
nSMre2kWzFOAD7/aqoOPnYNblX/4HCmS313vMBUJ7Kcp6ilozzUzQ1/6fTyFpCBThyBS0cFHmcsl
Gix55r8ZXX/9uH51l/Gw0LiQIq6KJkuYh/CKfn1YLHGIJlFGvgqpLtmm/gf40Yu8w4XoSdhl/8ao
/NWTv/xExLjxalyyw7B8LxUDPzMZEA2zxUde4lv/4yeaH1RNlAwTrPmZtLEGBGd86yHywTjMyh9v
xe/9CXc/HNEfPQAfUiFZQ9vfi5f/8a///SR7/Pmt5veP//hflxbov3/Hf6Mxbvqt8Pkvvwqlt5eG
nvnPX3R5NP/4u/Bgfn90lw6FX/7ln+oc/o/Chh/90f/H//ylzeGXlpG/l5v8aHMAQfDT1fFPfQ63
0zc0KPyLb/m9ygG5WZSroHsBLvOPboa/Vzl4qGf8G1j5DF5jfGnFSUHi/N7lEKd/A36Cix8LDRLr
P9c5xMHfsLVcrHiEtxHJ9fP/qM4hvHyGfjLA4eUDkiBJmPhhBNgj/BO6IGa9iVXn7I6DzsAJgPJW
i4QVFUCMGxXH98BBp3kvO3+Ydk2TB3lSrJBUStEYudrzGGGGLIgYxUXgFUv00GYIw9pPiH94wi9T
MfVICwziQLfBX++WbvS/9r5aodGQeWAZttg2AwKrA0kBNrahyMxe5jGtkUjhp54PwfeIDi1yEpd4
hAcUDAByRk9ExCMqCuhW2oV0DwnOwT3d5FZFeeffYtOEpQogXiMGgh1HFFunJpx3Uew9w3F+B8ze
Vn3i8WKIcnJOW8OObNv4tRUxOxJwoJ9XrsM69hUk02lI24eJZKKtZmndndEA7SoVrv1URwrPuMj0
tkA0GztV5X7bXo2NwHYPD3uha/qOGMLyPJu05WcouV41M0Vu2eTHSAQwlCGUXeoAtxKoMUWTW8jY
s78wB5luwXKMd8K9Nk4OhQetTEP+begjTqkGuDNCMKJ0ePhHhozg1bZa+xozFiT7NLb+kQ6RqfMU
c24JfrYPdgTlDrQgLFKf3GRh74GrnEuc3v3JmwdfFl6SKV2CdchuM7ESjLldjEuCbyzkBbHtvFU8
meepSjvi3rDsjukdngnkLizDva0wRNuK+TqqZ3+Cvuvx9jtO5rhuKROHGXj4bqUQdJOR6UrLltyP
Wwx/YGgFrcB7yXuBbNHJSQiafj8G9xBz1xqrdXpqYuJw9E9J+nUF8V5ZABjIYgVQRVsn+xamBvIb
iDIOnrqOKToFbvxBIxR7CkW8ZqrMEyibWY0XIlY4t9tB3cVibOVxG1gQY9Jnjg5FixzyVOh+jq/X
RiD4gIASeBzIzEEcAXDc8Ord65le7tOBISgEGNhaEc/m6qWbcMssYGL7lWvzFJqs3yLlHll7ucmH
WOFOSKlN+XWqaPu1H4lTJWQ3QQpEUHvv2iSMzrBQLbRQL2PXZljaq7QZ1i9h36YKk+qqa6fA7h4t
dW1SzthQIcuB0m8PjnehPKD2oAtAvLolKFeYQsvBn3oCsp2xO2ZdsJXtaKBXyQn1CnvZZARpS+UY
Biwu4cGoRhlzjYVNQ9714qiULd5NzDW9CUofANBWcG/I6V06+Gwup1735MaCsTp3c3KhcImuWhpR
hysu9kzJicoAqBB29qTszM40DfasJPDTqeq7bH0NUUqPIIodKUzu+WGzC9/uc+19eFs+4DPlpdKW
GaLcyRlVJvO2W9AnAIEJXR6vtpF+XGROt0/wjUO5BxAxwXv1Y04hSGI+O+Akco+QPKw8YoxYkEXp
OiRfOr8N1yPhTXSMpJq+r178nOg0u46w1CBZIUKjDqvAOHucMHBXmfIChNpn/2YDC3iPARCfR8xN
HAlaitMs0RBWhRs5tO0oO3EvcxBxV8/aaxus8opE2DUr/CSxz7JmrruAQs5meK/kjqqNV8joRfee
cr7ZRQDoqzTn4ZVMh7yOMu7ltccQ0kPaxwZPMOhYBZghxPssYsrfp5HAHsZM+4xgkHmbfYtlf5Jx
jM8a5rzK41hM+iDFhDtRGpcdAsFznbYzna7wBTFEIQ+qTJGEqXK0SLOtb0/x7CWItjvs+covuEOD
TWU1RN8Q9TK0SNKJRgWqCaD5jlMk62bpV3i7Eq5XfAOjWGcFkvDdU+Bo9GLW7VOMS3gBMG2xVSBT
Fx7SbCX3acKCii6Nq5awBQ6UD5D5hm0J685DEK2Ej24fhmaOz10fahh8qOsIbtZJyptt2VK+z0aJ
hW+xrxTINIJkKduCKmBNl5XG+AtcesOtvumxap43F8wPPfQ6hEJw/6L3gTXNFBY87tzmDn1EFpLA
cYBp1pygTq3AeTIR/P889aPK6l8WsP7RcoXp4C/Hqf9BKneYv8w/D1Q/vuf3eSrDL9VA/QhyHcih
oGrwj2osL0d/fICijBShYzTJJJf++N/nqShFUxqiIBihMeagLw0jPW4Nl3qsKEJJWoCvRjaK5Aik
Z//JPIUOn1/nKcTY8QfoKQkCAOP/1IiBRG0Yq1DHx6TLgGQkgFCnYTH7DRH2U0fH5LB5EvUxcl3d
V9wmyHWCOYYC2grWByk1sOpZeV860kGwx+B43oDyP6UcNlWRqhSNVnNMzm1n5gfHDXvq5wRQkcbw
0tM0+CxVg7gOJ/yUhWmNypbx3cycH6yXTaxgfLVQPrXaPpA8xOHTUIBYjRXhIyhVcYI6MVw1JOr2
OpohIC7DjUxCVuZdg4WW40gIzAz3nPUIIfVeGuH+QMkJaSNQOE1nbyVGob3qsvzazdRgXEhteG89
nQP0Ev5N4BjcfQQqTGFkNO5CEnT7QIb0NchZfg48cRdYCMZNGDxByZRVkEJmG0YYRYU/quh75BwU
ut6lZRaYIcS9Z1oAS+LWHXCwr2iugZg3dUzvk85XX4ETjbtoQl51ZFO3H7QUz2PMU5QkdDHfq97y
Azg7pJ7iFTYkcUG5BKH+JDPWQO9p1/tFsu0jd6t7hcYe3VMQXgc45tM5jbi9T1K8OEi4sB0MUH0F
X2F87yNtK1g9ZKdMZ/YkEHgaOJiKWAwd4okrmB8R669eHhVsSlwZ5eoK5VPHGCHHWiNujfyeHKo5
aW56ofqjl3lHSHOigjKCI9RM434cTfKdQiGFir0w0APxusem0BwxI/R36ITZwl3ucXFqsZ57dbRx
fQU0h79Qx/I3Mqa4ZSGFCJMyXR+VWcenvInZzean/s16uXcUGq7zJ2Tg52uu/e4xlrHaQzQK82JF
JvqQ2I7wQnRRdL85wm5wS9l2jhCYzp7KyAM6iALo2suYVWyOzAXP8+/yCdeKpEvalHyLuw8NbPrc
oODtAB4tukoX1e17lcKOyQh7HZFnPQ9UJfeQtraDbR3sF89EV+GaXDIykt4iDTc/4caWl8BEu2Pv
6aMamot1PCTZORxV+DbkQXoz0lgcEcxVB847yOs9rNTdGrfJbafWq7BdY1yO43Tw/AXCJV2+tBq6
D6ZsEdShasgXoDzfktH2R+oU7j+uT45ybOIdyTDZODKEL1EsPtwaKVp6NA7fSDY8SRNtL/OsHET5
wb+XbZoOUMeQ5UJSH2bypZLq3JogwZSGyNQXkET8jlAxQn+JovwDeku7Hwy+iW6se86Y35cm8qba
N6K/4hRv4hpF7JhqQAAZAoGPmDAW2FDoqMFUEDyh+fxIwzU9SWiBA3IDJVjhfkAAiYt7FHJgZ2q6
Q+rW5ZQ223CEDAfJSGkBmS+P3haZYw9C9msHU3KsyLzA4B4sf1CzH3/bYPKVkeBtubXgCOG9iFes
VfaZDMq7V2EvS7yhBMGyVoDYwpJ45012t3bpeDVOULfLPN8lC+/3DXz+Gwh8HRCWe8yG5tVDbx6i
71Fwz32kMDF7+3PZrb45D76ZPqIFHkcT+xX4ALKHL2pr0wXaq9FakL0uKPlTwG23jkGRcxKThKO3
2yzF3rMLiGXnElJOxqYXuQvJKYqiMT1sMzR2qXVW5bl5ppuLedGJHLr5RC9j8Mwgfel+u5LQ7W/c
0CDHGnivPBRTVlCK6Yp1OSlwAvhljm2x7Dz2CTCDf+x8CNrS52MRciHfO4QCrxrZ5vcJbKHjPCe2
Ly5T+j1bPAHGeCgTmBRfUk7snvtJducDWF1KBcv/bDLpl1nTb12BNGdaA4LLX3LcNc4b2NdPUxaz
634zn3NUXhxwR9xKSPLmPNOY4VJa+fXMU+QTnZdfY0ab7hbejDfcX0co86wDfdGrWgYz3QU5bN0t
bFWdzGP0Saw9hrUFz3JqMrlrLQ+/bYTqmxUVal/iaLzcXIDdvbZ9x55Rq2C6ImUi30FSoHtYzbAO
HV1LL2jauyBgl6wbFFBDR/voa7z0Q5tslXOLqmcbZlf4xU2AdGwn29uI8BUXWrCCU48TQI++3vYY
KPV+ANtwFPmmnjsNzjhQvEbrw3YnTBTXWGFAybjF32B/eUMMRsfu0lGac2BoeMoDKj5DvxbViiRC
YQLcbhk+4leoDVMH5C/QWiHGKX8Tacqqflj9166ZmgNOpvbYLGHlwjS52zT3PhRyISeF2qAdyJj5
NmBDd0wwP+6AjM/3nVuzZ7pmzS7wR/8RKgPsVUMw+TsQVLuoJdN5cuP7AL/qw980jn89LRt8FBvT
PerMgmpDDKQIZ+8qwcgMt3IA1IHc3KXT0isC7LcMJxrz76EcTrj3c06fNJZrrOwaUBg0kHy5H+nY
HWSLj3RhFRFQQ+YJBitpsvE74vbiaLo2LNBe5V0zAFoA3Po7c1FtlkS/wWWnBc5amF2ZXvW7WNI3
sGpf/EZ/J932htqshyGAb4L4tsLPG/vjBP+sRr/IUzhSdVItIU9GifBF8HX4QGul/TQ1+EYzpB4u
deaWSZwUxbPQJzXOo1n2XWoBPN5g1IKxAq8ZdRc1C+USwz5n7bVFKByOk9XZ3biMLn2d0+a7RrYo
O3RmxRsH9jpUOw8QaYkVcY8Eutr2PRT3G6ZGT74pHKCYvXKDLDGkmlGgHOiUeWKCas5DAG2RuAqo
G056YuQtccn42ScN5XeNbbsr0ibB9AQPtW323Sa6bShBWMFBR+9Swr9mrZ2952RsbFIHLUpmwG2D
JTyOUA6qwfMdAF857Ew6f5oR3ywmS7sKTUdwFmn8CTLuekihEAG2XPQZX2l3OTKNJai5E5via52H
sBF9TyaFAMH5Ao7CO2AWeR62tqtblEidcAdBjN1jFBB2F5R0CNzZtHQ8T3g3T9uCXHLL1i+X8PJp
ylOvmGNP74PBOtjRl3ELJV4aRRPRdMXYUTQ7ZODQ4iGb5QAQPy6REmT7GdxU6Zr4vt/aueKjR49b
jEoWsNTNaepDdlp84MZBh4JYMOnXbZOCCkSG77OO0q6EE+z2bDQMbumM/Ra0VD2xTtZrEysLLVDg
RtYoYJR4mw/aV2GxdGG/Ry2o/z3WMHdKJRRgvALmUfA1zYY0+zT7eiDzh47JKJLnZgSfspRs7Bjq
CH5Tev9fFP83S1yC3xj0V5r4H7/Z8Oc17sd3/UMWj/HLwDKE5i51n5dl7RdZPPaRQ4Tj9VvPHBbG
v8viIXY1BK4glqPOOITk9scah17kCH8hyfwM0cUsD/6TNe5PpYu/BfqCEMlw5E599HjFFwvopxAs
bnQAqLW252GNUHm6wrYuZMQJ+H2ymvvUS9yJW5yPte+LBaNSbJ5FPONYnvNh/PTTq/e79/Jz53Lw
q/3z26OJ0eJ7MZ58zNgXR+LnRxMPTom81QYj7RCcqcBKWGgiIcRYgymtMGus34hRHiumPoPAhQQy
FBa0mZAYVjcZvubLAkk8b1tQKF0XPG+JlwV7lybNtwBlKvaHvPHjd0D+i0cc/inE91sgEnVUSNEi
Nu5nf3YVYgaOEGn/5Yy6IEqrFKVHzwYuSLTDeIZTyzgb8Irh9gNYJQXH4IQf7XuY5gH4Tbl8xfk5
ByXzVFLBVpBAl/rWR7BlSgR6RCRv74QGBg4aaa6QYMhf5na8QkFSYmsGvfCGTa3p93/9Pvzz2wBJ
3Sd4I1JcG+g2+/VtgPQM2kh18xmtoPmLpFmAO6bAjFSoQds7rNb5o2qC7vWvf+yvdmOCg5Fg3iD4
tYe4FvGPy8P66VoEmUpjNdPhPGRbcEb9iz4jbYdCnaZ9+eufdDEuf/aCLj8JAgmcRrjCl98/9etP
UgPqA0aA8Gdkq+Iv6P/CztwsmQsLodraH9FMUka+y2SJ1Mza/7uL5s9ZaDzL0A8T9FbHKQrG//zj
YXkxeJyIV1xObvTI6uSLwO+56/boJIJWCb2vcD7e+v3ajb9t0ZJ8A+6HOqncxdc2BbBXRisHis8R
h4MQqsKoajPnvinPqMr3kBEoE+RlpkMSpZv+NyZt8M9vFJLGODaQkYUEBa3p15fPT3UyJEnj3QS6
6b8wUC4UqqpYMHxCtxjoaW2ZeEcDDYJR24imDjjwrMSsTL4vZNtk6VpKwEtw842h3+GrSTA34fcT
/lVSGQHuP7/J0L9wEUFAy9FslpBLjdxPl1M6YZFEWUt0w2OE+vOsWvJ221/Ky/LdYrRGu8To35ve
JRoV2C1WpWDYz+Gk9h2ELZSQjf2DQlW7LUi30k8r7+XRQUMpVDKqZ4RasqpB/USpJTQr9BBG4Jga
Pg/nVXkzqCfsEJQGOS+A58G6D03bH6DKdw8hp3eYtyKLPYuM56UZn5aw96IqNSFeSOZCnA2x3rbC
XzN+3bVJ9tb4QK3bNAuuN7AKebn6LZATXPMMsskEkml12VYFa+JVG7cfakZwSKP74iIiLWTXzKOG
7hKGT2OLUvt9QzyYPdhWmvccwzR442H0PsPe6CsFVvqIchd1DMa8+8qMghkDpFE8sryxpDAAPU5T
M+kSk6ICehPmt4D7bQ3AZNwFgQ1M3UE1RLpmRbNXacK2qfs5moAw5//L3plt14lkW/SLqEHfvB44
rfrGkq0XhmRb9BAQQfv1d+LMqmHLutatfL4PleVMS4cDBEHE3mvNdUVVINEjGCXqwKvGHEMIRS5C
HK/8PFV6emZ2gbhzkI/u+yDXTOgX1fLsu023pVqTL7uh8JMdnQb9GR38+IpfWTgh7mKd6lliDsmO
lgrb9XEct3My9P6ua+I0KpVVHWp+FKKD3TVcaOxum5x6oYaIcURQ0TjTsrFVGYeW0upq37nFNlm9
/zejZdjUdjqsrTkjSe0sNQaSDYs3nbuo/coYYkGrqor+5upM+ZbGqWkuXyQNkVXpF9DFK5qv5lzl
yqLZpvpe6JeqUBiAUZK2yx6vs4oxjWb4BnOzbO50T7OO+WxZfdhzD2LcE3qA2jHFiBTVccz7UJXF
2G6BAyd62JXKiK/SVnexARazN6bRPJWBOnelshhRY8xOdwx73oU7V0vz+Ip9o+UmYUtVhwFnwTbe
1WXWBRsUMugjt9Pa99b+6oHPMcAVnOExldA0ANNNacMrq62MWRXs2LNUS+gvDjNmTe+Rfmra0V4Z
5JzIa6SrgEyaJPNftX7wMj3SG1PhlPV7/9L50Xmo/+5D1JNsaUtIndkNZ0mSerBo5LC0u6Cje76b
S7eaD7qUlQgdE7Ve6LGoLvcdJDot5Laaj5qoaIeg3S6qiP/p2hVeBo2miKrrx7yqgupodYEqtwWU
k9ulVxZOOHSvxlk6ptJjk5iaqdrH3SDqO17G1gkZklnsesE32DaqTJatb0wL5ZR8FuNF5WN23Wo8
Kh02aqM/dURZlFESW0kfeWALxCbzJOuTmqCC5TuKsID6FV+gimBy0gAy9Mw+oK8pXDrKkM2jrMni
aOnjAgnb2IkAaN+Y26EFaWVBNZgv2pkel/bOEDF2Py8NPLE1II03xzQzxmRbBHYKA5if26x15prh
k0CgmMYMhTbmAu2pQ1xHZznjOTIvDZrB1In8wdas+7kczf7SFQHV6BoR2oXT17ySEoRG/EKA4t3a
QVA06i/YFur01EKVm3ZydJbsDIirurfRLj07U4x62TcYvNCkMKVvpbtkfPmeVnRUWtBrQ/QL2wyC
4JdyHFlZ5Ek+3KGxGl9El1rYGMYk3vpEImCo8mM+xykbGJJ1N9DUwjNp30jlGPeGwg6wGdlW+9Sy
Z4/amFnl2aHDb0Pl3kNgfJVpXvBQ6+06OPO8lXuvlKm8nmZb+aHejtybdKz5Yg0GSeOMN1jwQLGS
0V0xS3aRb6y9VLZssXmdd1hgb02/DuzjZOdjf6EmtS4+qddeO4XmTtuG4tF4bJplQclvVmrBxemt
J79+9ZH5ie+1tuZsp+Ys+paS4yYtmmIJg2Lg0RElhYGbGsAi3fSeVUHC3zGnmqpOr1rDnhEmWiLV
ud1jt/b5tBSRL6WEFk/Pqq/ZzkOL6Z1/x4HGGTGB4GhY18mqrh7wOAQnf4BWuIFRWDAusIo9jzWC
/c3U5fOtpSZdniUsc/OzRgDbuPN5W+wRSxiXbZC0X2xQAe3KwcvMU+MnQX8GEx2B6dx5LU4kaCp7
YXJZV5/d/LUoC+d66iUa7JZIheJxdKtEHvA2Va8w2NY5hO1qGrEP8KkqYh2XOwF3/lHT42pXjSJB
620zzc3dmN5mIArOMJDkTuSYnQkcqnRsXkepGTx0sPeTbWnWPCaLFlvB0a4bo/1eMSHPJ99gSG2x
pTJGcgc3xA5/xLDlJTO2Z0bXm24YB6UaeNNag87Su82fugDPvzazTD8tgeqMb3jQZ0nyiuGhPxlN
PmqqjNW5PILwOApuC0U/1JWwTodBXUyzh/J/kO3G9+TBrlAgHpZxJRJgHpMLraOCrm7tTva5plDX
b9O2roazBFhnigJAVuk9KxH5TQc2AZbAy+SwKVI5oukeB7/lLTC3d3TZjOyz0VA3GxBoaMX8SSiM
j3wYNXaqxIhaT1osxpc0oaMAIFG69AdAoNxQtYmXfYfhLdtmS88gzUyVW9cTFR7nsnLF6qoTg+5e
2EYKLmBmdSO3IyZAivF+TY8OVXDF3CFluTUma+qiocQ9u1/g3PJV0bl40RzjGAipa7jtIzpn4z5P
O8Yab7rggbFeyes6qIni6E0RgIijZw5iuP8CA3T0jU1RDN4nB9vdGI2ASGx80SWk4jaWAfahhBG9
FZnF3WTjME/nmaWK5tzrRGpdYyEt3SNAXswh2TRpyUXRaWKMKokXh9p+1auLklYf20igezuZrnKn
cdL149zaPPezC2sEDnrqXfxYlf5/JeWDSsraKqaB/J8F/G/ywjc53qsk8e/f+Xc/XP8XH6EjlkEO
SMlz3TT9FRWl+d6/2KS6FGvYk0B1Wpve/+6HG//SdYNYMNR8Fjxki63s3/3wVZRosoMBL8QG3nQD
578ppLzZbKDfJZPK+hHjyB/Bp/262UgYPIsvmv5gYlVWIQ0VlkvAPYJzuwdpucGFWp8XLizYKEjx
Tvx0rd4pQ7zZkPEqpFriE1WlI0mn0LR+u5+2OpgAF5guk9qPvTlsvblyYY+aJR27rDr8g0MFvqOz
eYYj8ZYj1Fn5YBiVo/a20cGrMQ34ppLuCbvc9h+cFZcysFw2zO5vyLDFgEM32zYV8mnKWHAvbdQp
yBJq8j6KfVl3rD8VBH5cQHjqOkQmBgW4/l8vINWlvigdLmCQITUcZpO3cO++ToMbJXWch15jQf+K
ESBSMGg+Ipq/e3CoU+soRgTi/npwRas0toRSKKptl/7+lG5rnGv/HbqLU3RMxqUHosFFy+29OYpM
fEsObdxTkLddEIJmjQnOmVpv2OaiYoP653Hypob043DULXUTUS/D5K2S22lx7KWG6vfJjBKKAvd3
qHevftJUG8BzCP1y8UFZYq1K/XoPQQGagemgHbfR1L0R+MYpLRffgkFDL9EJAbiW3Kyg2f75vNbL
9NtR2NMi89fp3Fnro/jTo0YxHsRJW/R7KxuIwNC0c0DpV7NhwvnRK+eDc3rvKpo/He3NTaNyDOSF
HIO9P4zGJgZmkgwVFYh8jXoLArXpiuLlzyf4Jq3C+XHn1sQsB+E1cMC3U9mcAmzCWAmCKHXtKwQR
5UMCNOaIE5feRJMUUd/eesPsh21py2+u0v0T5uRDn3TNfuiDYdtPJp2e0RNfp8nSjjP5cRszVu3d
yoDCeZ2ERtEuH0xMxjv3H8eApxskfXnmbyPOl4lL14zHKBsx2mxsbURrOk3OsIUktNJLIfaA3hoj
i6u3NWk7PumLN13jcxSXHpXwMBFJcMVaNPngWXDe/WrMz+sTjhL+bUE1D4jxYYusqD6luNZSJ6Js
i+Xfd9UWxrr8BFwZOMXowjlpaLGdIKx152y5hyKqJoWIaFVc2hLrNe6qjcX+L4prxOS1mcxnSW92
l6a7aEcU7gT9YP+LsOiQUACM5qFn8/egwB+EAfvIsLM1b0eeRQboqPO3fTOdVNGRpaOVfahiJ0Ax
RLKMXXxiESYvC3u2NrO1FLvO6jEoauqqCbzl0GYecCcbj9cUl/G5jmn4UevaYZ/XyK1g174Ws3Wr
8O/gVUzorrqpuuKT692fR+vvD4jPiLXordi8gwlu/fVxxKPt9M643nSZXmpFn1Iu1o9GNt2jWxfb
vofm9Q+OyM6Cjp+DofJt5mAA2wtgQaH2XRxj27RXeevXoLbPO4s6CTuAz38+3u/vdt9Br+cB/FqJ
nW87DDIJBmLGerVHlio25mCPxwT/6dY3u/mDF+7vw9RH5+ea6CUCnTrJ+vc/zW1J7wz5SFNiTzSA
g/6jNY7N2HsfXMB3j0K+JssUagZcw1+PAnRUqxSg472G2ayD1hBoB+oU/vWfr9vb1hbzGGeDmtBn
tYgrxXlznIKah0E5g1LdZDQRJbB8504VPRpJSIUdSzIULAa+7lnUM/1HtpT7xi6yj6altcz86wuD
ph/eEGfluxrG2zyjtm2gCQ0eODukZNuRet6Ooo7a2aPCE2LZi32kGR1sO735Xjajd0se6LhPHH24
IJ3NOlE8/DCQ6N3vtDpraEQFyDffvFYSW9MwqFpyj/WzPuqdsw30ng08OrbLGGFUmEI9+lJS1Qgh
Hs9X/eqjI7oQEKpfN9S2yu8gu4fLwp+iZRmfUIeYYZspcTcTd7ARKnMODqz5Uz0DR9LVR4sL890T
CIgMtFjS8/y/aeCAEQuq2R+5qOl8m3Se2PWjnXxKmcVCgUI8iqWhh5XnKt5YXXWiRvbsZ9495Obg
2Is4DnG9D1tKKcFNs3jNvW8v3xcnJnfIT4MdpYc5Gotc412hSgIeMEp/MDrf9IB+jE42LP85gzej
c1RwDJJmlvtZy5NTjP4fy+1UR7mmRwqXycbqod3kuY5mfx5CKZDz/fkrWO9fRF8nPRAmr/f2cfdn
5hKaH3KlySg4GaXvvLCsuvZsWUO40r/hYZgecZ2kX2nDqX5IQqh0aQTGDmJBInemLpuow7214r3G
auOZvQjxOOn7ycG4jjHB+D7XhsFU6aHZK7YOwUWRqwWPwB/Ajg2Ofq45RnlYmubZG/Q7d+ZAkI8o
hVFjdz645r8v3aAP4MSAI4uwmt3SrxOPY/pw5HMmhDYvH+sYxFVeRtqCQrFZHOuDdeI707bLkpud
J8lQrBXf7CgkVMm6Y9LZi6R+Dehh8tZGJ2xTPv7gSOsnvZlgONLagbZtFxvdm4cZMkCPSd9hJHXJ
PZSd5JHgIjCS1cxugowzKjm6q/knUt0+ouW+8/Z1QVSu0GpeTCy8f72iKkEEHuegOnsMUjRQryev
XSOBXktPvbDldT94Qf1Ye/52rg55tgb+XpDdb24hxBM5ZRlD1rGC+ra3WPfMsRXNdTqEJIZ9p3B4
32TlFCWzYHFj+1k44PxA8bx88PS8O5hQvfNmAaj7m50w69XgQCOT+9FvVKQLz93YdH6IHmiS0Enz
1z8/rO+8NPECWNxmJPw6m/xfrzQOmSKpiHPcz3jZ9gmRl+FCiskHe8R3r69BJYORxOW1/TcrgFwa
SQMsVO7ZI5OyMkwwUGrMkm6MNnukiRcmFKqxfLcl2qWkCqkGlLSLtLMFbsMHz+vvm3K682u8M8oU
z3fePq/j3DuorQq+zADYlJYxlbpuAZo3J2FSQR0Ssqr3qadMorR7/YPH6m2Xe52hmRddLjbrdhQ8
b8aaAgJmWrXe7VHdpy/C6zQMoV2iriSeQxqubgM6EoSZDiVsDpCkDG5bOpGeI//b4HdLi3Akw+hi
SC0YTaZSvRHCjZXf/jwy3ploSBkC1M+jzzrnrXc8xTs3O7Xb7t0p7na9TWXblm2wZS2ffXBJ3jkU
tWEb6YRHGY6r8+sgzHJDipZS/14tcfVqW7N3s9RphSnP1f/BabEGJYnAJXiCA74Z8KIWixK+3e6x
ZXQ3uG3cXTN78RkpTM9/voDvTGIcibIIS0TEDG8rFeaC1rHpOVJm6UkUq1rcVQnoYt5udOCnykYR
Chf2zwd991Kyv7Zx8hg2WPVfL2WS6CBAU6fd06UZwsqZRjwrlRlhL5UfHAqpIh/2ZtZkpaFjskbr
YjFj/XowH3RVnywGQ8TudNJLkR8jq0ntcYloQdVlCFPGjFzW5GXYWsOo7dg59tN2oX9X4UrA8LfN
LGqMx1jO5YOJ3yONQG35sGhLWGxoF9v0GZmudlEQLyF3SVom+UZiKIU1xSlZoec29K6DwRmN3Yj8
Zz5ztDTYZ3SOli1CFVyaCQ7Ee7c36eHiw3XMHQFnk7vFNZKan4PRyKrvLkBxGtqCHUx6NqVAWVdi
SZd+kmVjzMcSyhAw1syoiOrQhXGqFor/e9kXg7x0qrr3L2xsvPGNK2lh7vh3baTPBFV12vR2UBDE
QR8uufC9etXcAr0j4Mdpy7sBmCQ6z1prDsQtIkqbk84EA5dmDxWcIIhOPWqWIwLXRIR+T07Qbi5w
2G4rgSLgPB/YTkKVDMRY7qUcgyKiH4TTshnorp9VGm0J6g6VMCNROeviKsO/9ezRxJlRLqspXHzC
gO6EQ0NzTx8sn6/H2BvuYEd2agv8M/BuSV70YRfOQ9IfWcROu9afgmxnIyoGRyySZQmhCgf7uuMV
tS3jtfwHVzzAMiQd/xP8kTKcyqqxINBh1sDoIJxD5fc31Hl3PRKdR0h/5edS8/VbRYzWJq7y6aDh
xN1abXDVl/OubuVuSr36Fs7yZiBFb4uCL9ubdjESiVBUGFmHkzXMY2ii+88LYnuc3oyjPp+sHQ3m
b7aljduBRhvfofP2LoaJbWBn7t4OlmbDihlDLn7cM4lq9sVTdIaQaOBr94bnpXWdw2Ch4hhQ9jpZ
+YDwcuviN7l2ArzrcG+z64IYhxAZuXHmV2V6gUwEL4aHekdm8cO0WM7e0YybLEPpRlc3PsaBXYRT
XvQsKqQXlrwlIim95QYMyrFVNhbPBdxMthRX4Ojos9vdqZgmsO96AUdXESyVQxNES4mRZbRSMJSZ
fx379i2t22lrjH66W5YO84Km+ig2IXUuLF1v4ZiKp9qX+nmdehhvVOtGk666V1dr61BTiLx8CtZ7
r2mcY1fS5fLItjqS0mYe5UwmDEWKk4naEXyGsSuc+XNFk/hzncUHz7Hvsn7+TKO+3o46HKaujz9X
MBA7nsDKPw69h15bAwKOXuS+CPz4JGML4n3S+Fs9tzXuQ4tWJg8gULFvuCUZbrhukw7oUo/DY7Tk
OdxCbN7T6kHRQHe3ozj4lsoOJAihw6n84dWW4JnApoNLjIohU8uMjqolzpytual3KACaLFD3RUNS
28Zk8DxWpm5Nkdeyj+BlyiSRJ/34RXDtLwknzSiPID7HwHrUe5JltUY1QL8W/4w/NNuJB2IbA4eY
5bk/j8kov0BH9CTMQjMmdSlaEH590Qxrp+cJmhiNLrbYe5rZfJ28pRAHqyjNPqr8Dvrf3KDdPdc0
V+EM83zITeU8ONqJ8qwuKdK2iBA6rhTepLqMFr8a7lOq+tdmmZv3cVUX2XHM3W7roP65NEbT3zUZ
puENRqPplGZSf3H1mPUk9V2x9Ra9PBO8ZL8qEp7dbTmDXMtHJ7POp0m6d/ZQxK8Bxf0eN41LR1PE
gx4tsz99os9UvXaiw1g1V9J4Qo7RgQcTzlVQm+IL+pAxQg4x7xUrlnsfI9CXQfI5M1QL5C5me1rW
DOVsqu0jWkb5SBWONkguU4zpQ89ISK2g/UxYZvu1FXaxKyat/ey1YNPAWiuSuRFI7DJ6wI9Og1wE
ldU4Rm7sVCrqsWXgMzI1h4a4jeXPdZ0wZ8F1RBaBOYgS8pZdadDtCvZN1QEQJz+vAO89tPG4CnHw
UhPwmoxxFuKBb4OwojWILS4t1zGojSdsg+mdXqXlpvFo8u9IuBHaA/INTtFbdcZnibnwVd1ieBjM
qR8vyL1MrjIfL1+ji+WiUXCf7dTmUy2R7W09c+8GZTrLhpVIe3JFml7RFRdPlO7MLYUz5yrpeFQJ
PaiW3dJPxY5kWZBS6J2Tq7IUA3GNDmY8HqKWh4q7SxG+PRVVQOJQmoqXbkg6QIOdcS8zrneWF3jq
kDDsfQIMD1pnz8DKzPZGOJ14AfNdd+BLFzFERZtne65sdsBkxcdqyHSNzm5PwsiD82WQ4kXNovs8
pFzXxfPar42RQAddyKmn0Q+59wQydkZ0p+S3YJTOlb202ohbMEiupmwl2iPeqOZvKJlsH76dCaWO
zMoRDPm5wWtZRECV8QSmZHlCCEvzmhmqj+UGE6VxL4zZuSIiJv4kYHJcuk7fPLmJW0RYTxewvCgk
jc2A+e2b01vmNiHi8jQDeY8SZGNnq7/iADNo+uQT/gGuLM4OluC3ha4lV33QugskCxJQN7Xu07Gw
2vJIYj1KAxVQxImyYoxPcBT4AUIjVxPbWKooX0TTbxaec8pYtXzELTe/QgeR37zEdsI4nsuj0al1
lPep6Om5mM4dCQHDg92onmyGhi9ZOnpxS9ydeLby1L3TggVTo6jH9IrAvdrAa1J3n8t2ma59V/YP
upiK22y93Sb2snMnNwhgsgcOVGjzLvC8VfOk4QWzJVfNz9P5Wk+0+VVfmgxTH7qhDUX7+Bahk31s
9bQ+d62RT2yW4pYl+/QJIob8towIuk5LR0l8qxFp8OoJynxh3KfxCj0xJCkOrjbWoas1qN7sfKlw
SGtufGunbLk2opftfKwGIC6cOyNpgXrA1OvajDTmrPSqLPLGIBdkaa41uL2QUOeSe62TGAzs3mr8
OsRt/Nr4GnumQa+AGFZj+4of3HiwE4QYwyiN7+6Qo8Ll0WtvmC2W18bMBfGxZj0XYZc7/XeEIIvD
PfMY+0JwWVze5HKvj4XRbVyWvPeLWWq3gdKZzTx3+D4Jv70hNpjCf2uKSzXM4gtc2PbGUH5yRawT
oesBzsdM+ggsZboKSXyeb+jj6rHNMtyrneZL5vimWK2vaOVeWVF7F+yJ453oYxA/aAk86qbKArcT
W/7TIn11GVci2Q+E0hxst+LW8No8tzq76DeOl2TXri3FDtW5/AQcF23Xkr6qpOE/SSFEFA/CenGC
BNiaQKkmbBR4pgWh3Bksd29wvTZ0NO2oUB3PIVLW+daouumaRQgURTuPH8xyJV1ozR34yws8d4CD
dD1jLwP5ekRIS3KbfwIVR5ZwJToOC/RIH1GiobJk3rAW2ut6pl1MLtzienbiOzc2m2MwZX3CpFst
uO9oNraGox+dTJ2GeQY0zbN5oSdjd44HvD4laU3Ai2mxBAxo/1FCfQ4cRI6EaU+3BR7hb0BDT22m
G0xpeDIWS7bb2jUEVCP7bJpy+5H1NvhAAkZfSO6lz9QookM089jGjUe3LGVBOuTN/OhPY3Kr1+m4
8yZxcJuyjYIRB9gma5sDLM5n6n/VFyDlEFe9hosE3CVhomeHE3rzbKcrhFgeC00H6x5rGEag5Owk
iruzKsbUbuO9uuEPHkX5WLvvW81lqguS256EKwixsXfdI8zaUJjGPO3F9jNiS/cBuW15yDLvYcr1
ak+5NGUdyFIO6uFMIkI2pheZT+GmMcxjbC3GS6rH4w6gtb7HSEqueAZ8Zhx4GKVIFXReSoXJPLtn
LC7sx9x2ICdOzY7HiQm4ydmdJm4b7IGxBa9Qp83HSdjGZVAFC6qFyr4HHJyHE2vYncPcxanJ8sFw
PO9mHrhLzoCLZ+exLtyQbYPXBJP694VWkxmKRGWXbc4wwOKZZOAUa7AHQoAksCsYSpMAKkIDYYP7
1gx7z2VBD5vlOcdIfkrG+qDwdgPstrXzZoYesOjmo0IKvONRhOa35CzUHAwsRIdfVrYTf0IMxzLD
HvDeeXq+Eb7Kbn29WyLw3/6ZnLMVQZtuU6csNoXVOVeVcMjqS8fAoGlRLsd5boYLF8ZVzRoNuAIR
gzU2ywl8f25B1EI/u2oqu5ptKQlSPEb00IYL0JL558q03b1jUICntIavsV0EJY0+06brILba85li
Nrs6bwA53newBgI8/reOZ5+63JsO8aDCwZfFRcldPpM1anJpNyXN0REH6yjVOXVfYtdlfjAmLfgc
0DNln/PcNfUqlnYWIgdhx+PkSPHLDsr4jDy1Ozam92Is7ve4a9onVqzlUwnek0kLuyXhxNrOGvpk
q7y+upmBBUclGFCa3oFaSJdHWs9yaDqgiB2yE2k7ox0Nni69g1cYSG5J0GyuNEIc0CbPXnNF+aaB
TObnCTmiZLoujFEnJ+U1r2/M1q9uMK4WJVhzJlBit9W3Upo6Tt48/Qa0FEC3CbnoqkUFcHJAK93N
tgntqGPFw30jEHuHtA+k+qC51rEUPm+UgMBX3pbUzpYSEAVFf/6qiTPznvUxO9OiSu1TUkzyW1Xg
kpK9pIgg5756LeyaqoJcVPyky9x4IZmNN31jo8KV7RQ/4VNnE27HmUaOwBLLb5ojtGpjLkPgbZfC
qe/KdmJikOk0NjsvUUOzs4ORikY/pQyP1OxZ4DQ1OvzU7VFiB7D0nxzD4XcCMZUdqdkBhGUbJpQA
qQYnPRok3xJtKXKpqEal5bGJmThontm1PMsWR7Fv1OvBSMNRjFmyY/HKJy8a7uujPVJ+jFKbiNI9
hEyWAIoOKca3qQrO81S3ieztgG2EZexylzTiVzHdT338NHQDZK6kB6q6QRBevZo9DPJN31q4y0bb
Cp7+upjOoCXQzWhPZuEi11xlz1jwfbOfaPYWGesh8WeyAIW2FgXwO9R3Dvqxel9mOeUelAUZG0zy
fw7CoAp0ZbbOZOyIZnLOZnizd86IooJbSL81HOOW8ys8h3pIJ/QiP5OoGIZ9NSP8uAgGNbwOLrXR
TW/i+rlwNQPa7TyYMEtQ6Ve4tW4KL2gJrxG+fo/gVM6HiTJ8fGX3nPTBHHS+I6tyvnVWg+ajnDXV
Gv0/Ekpxk2Q8u9T+0zmiLsNVHOB3KiYJU37L2L2QrjqyIp7lIL9nGEDKfdB3CMP7oMpy5NoZOQql
zvOzGbmdy6Gm/ncacdoBK2kUKzontUV+hOhFEYUomBI0SZsBG+aZYsPNS5j3V1j1K8m7hpOO72fB
E3iVDvDl23UJWULRAM+MNvCTkevmti0b/URPujuMVW/dVIk/naNlyh5I0Bg/jaY9/FVW/38N6gca
1LVBRWX0f9egXhCr9fw17eV3peTPjt6/f/NvJaob/AvXuYvSm8o0q+oVv/S3EtWzVvwSLg+kBwiQ
eKD+o0S1zX/5Ps1qxOYEaP7AL/1biQrpEkEekguWkqxaKXn/N0rUN5VlPtpAmeZZzEgcDDftr8Xe
wJpdrRAaFZesfEWdH+w1IgE3yGLGDwrL7x3JRDOJVZTO1G/91LK2a3uZDI5kLoTM6+JJ1M2E3Sjt
/xqy/6vN9r0jcQysaDRTkZ2uf/+zMEUhVofdIA7oRsj06/UrOVQ5kPzl4acbfv1XTfxnB/I7B/It
n46Tw+F0jvXrgQYIAkHTLeIwy+IV/8JrrGWvOf//Tw7j+HQPueO/3SPEUGS6OaxdY20MtsG6Z5a8
IcOCBfd/f+kYq8CFSRdDNP22PZQIkMENBPzDEFfkjOhAb+LG9M+7+qMW5dqy+KnLsA48H+0xxl3U
1r/3Dr2BlRcbbnFIR0K3CEu4nZPpwdDmBxAlHyme3zS9/zoYcGLXo0UX/KaZ1YBs82w24hAQVwKy
p+oOud+yDtCyZ92nMUllnIi5OVb/5HqCkgWVCpQWgeSvIwRzbm+W4DQPpIIQGNS11sYJtOJBy/nT
n0fJOth+u6Doo5gVcHbzVP96qKXP+zlrKnHQephNVS+InzD1+O7PR3lvyLs/HeWNlAYekT1oPcgo
LZgc/JfTw1CN9ammgvdPLt1PR3pz6UbWdM1Qc6S07Hk9T/nzj/ri/+Hx0n8/qYA8AfprtLxsEx/7
r5euiSuHyEVRHcRgNtSJIPSyKlAsPO1q3gaxDqos6OCnEkN+0Fn2R3kJ/8Bq7fo0tA6N3ZEt59af
EmzCTT1+9dKMVdOK0IRkbJCqVLz+qBzQVhsuBJ2aTScWYt7MgACiRvAjeAOrrV6MbJB4Yxy8qWWl
3gXmY+GxtXbinPVbNSAzqibnEFNkpqpYB/sxZzwX3oQ9k+Uuq7minvxogOx1VIrMA8r+9VaZXn2n
tNw+6cEyfkUCEuwNxZZncA2OktvNGeLNIUfHRUTlFp2m/pIXKVUeyfeh6WM/V7hjqLwrsaPEJ64o
hTaRWjl/oLfiON8YfcmqsrVUQF2xE7tWj3FPtRRPCG3T2F1wdkvFxFXlngrJjASv5zG5wL6tt67L
K4DkFBaJcGjYHwUGqZTsRfZ5tzRnhk7qi1+xmfADdrsQAM1HIn+dsykx8qfEb8oHturZvpWW+ALD
zQTQxgdtvNEQX0SFNZrvNCBxST0RqNCyZp51Foms7kioLx/k6BObqsnqRtMy9RRzac7SvBUkB+Wv
usE97XPXfKz87BWWTXynXByU4zo1plI2ZzNsWfSupc72CNNJmV7DkJtuyWWzj8zoKowHqiZDwkaO
ZQCbEVoD9SlLVnqR3SfZZWLhdM5dhD9onSAZNLTdgJc5NXit0YcEsZbVS5nYJ+oD/nnqcskgAnGa
fZqHAK7msGpFck/sKqeUQBSEc0UZo4JUEMWIS3BSsm1hl7Z0brnPalMXePEHEUQu7SZiEwQmMBrL
WCNrsrmXjQvU+pwszOXRJ3D1fqoLNgte2pw4xxkMOTOnrpOiQhgqwAdE4fdW3TB+nE53iAWwHRLv
gGqw2v6xKyHR06I9YXILFFBFB7ejYOtIGJ8W4ucGUtHisha2vmghIrNgS6SPv1eWAOnslFjcHhQl
t2EP7z1/DkZT2+EDYwPvUZXeZMFAl3SIp9sRF95n2mPF3hE9OrxR6yAQEobgLNsl9wsqFzIZ+40L
v+5lCbDLmQvPFkgq9j8gMuSnwVPiS0Lp5MybS+bQqeHLdr1mndA1keRhI45GjM6dcFI4WW1ior2O
k5oGGmkERZe/ElQZnMdQMiioLsbOSKoZ+QstrSglMQ1GSQDLkPhBRHTcoZ5yLP/g9qZ+50dOGsR3
+YBzNCIOJP1OQrFzqAuXHpKbuss5SrfPbHCGvVU17FsC7EHbBXvdiZiRVxlDtmpxB4Z0q/dBl3xX
fedFqZzu6tY8qGZ46dM5I5mLTOkewuEZr0LvJu15KCnXTVvdKIeLAQ34Nil4zm3iSjYmTKxH3xDL
GY7yHYDnMkww1aqwGgtiOgvS4zaWKhnUzIrTNamzhGSR13NlsajctRpPfUGrNxoGgaKNRvR2wfV8
qEbIn8b63hU25019+pk9E1xtdlHP5ST9GzQ8xiWp1JgAiWI+TT0jqmBCfeqDGGhSSc1zqDl9iMQ8
RpVPS1nV/fhVah2VgwRUaIgo3b8xXNoWREg8Ow4TZdcxf7iphhAlm+gLdmiiYw8qw8axev8mboru
3KACyv74f9g7k+W4kS2J/kr/AMoQmLHNeWKSTA4iuYFRooR5BgLD1/cJlqpbotqkrv3bPLOyJzKT
SGQgwq/7cbXT6n2Ykpme08w5Ef0HsosdceClQW40TCe9DkqFGL5EdsEkKQNI6Lc6dzDHNHBN12bF
UDEaTE7rxNCv21rtq0ujPGa08LKS1xHm11zgAne5OiSJSBw6vQDUwqoLE+O5Sz3xVR9YreAbZksO
mOKcBohtiT2GGznhgnAHdhILTevsc4Ii3KLOL2XZ0NqoVNq6AxAtZ6d8gIzmX89uUDAYdonzaCrh
zyeMvqU3zQ74ZHEvadVYenR34C9FJ2p71h4tZPWAI7LG6gAFUcLUg11nq6GNjM9mgK7ji747So3j
dFr2oNHbbAcGGWs/VLVtTlXKFUL0tRmbAAyThPDLGHVXQTJ/inVz+OSlk7fyJgYW6AGEXinXXRcR
LaQV7a83WQqVs8lXsRl9K0OYx1YXP/B9fmykHu4MrwRuGNLK1+lmReNJazC9m8DDOdZnzWZeY7g8
9KhYtPZaHGWPNaoBvgxWHD33xD3iclUCfxym6u9F9l14n/kMIFiawyJ1KMvkuU1h3KTEhBwDZ7Mt
IuIpIkJmJ+mNNjllGYtZwiGv5hZJ/HwpqHjbF0Ot+wuvIhlapE1OSlTWc0OvjxnnNCTVnb6wg6Gm
BCA3HtrcyA9DbeaH0mU8sSy9vj6YWQsIXuSUXYIOGUvXOU6DMeYzDx9w6ldO7g4MhIwByDrKSaRt
LSpaowOKhSnHhZEH0jtYslc4bqfHGk3HjU9ObTH7jfutnRIURA9m5tfKdhRIJHT3o+dWYDcnIArs
bmx9rfrpEq4Bqf542TVdd1M4LmnexKLsbsmIOVl3VdRYwPh6Bq+sPe2Ll8J+gk6d3Q2JSTMKBZYI
ZWyuLcbN7iQPBaDNVVzpnwE77CrAfDjiTNq98PhsDIfvFwuHvLXtBGSMWWjJig6skWe1MWHkpFFy
gZpNtWfmdTuj7rv1WAevKRF16pGMFCNWyUTWrcVT3hnjGYpiKRZjSCMtmksP/CEz5zNf1/BLmLmi
pxmwxaTgjj68eU3bx6Otewh9Oesb0xkW/ZDdCacliymF5WPZq/iDd2k/IIx5ky23v99gv0fCftrH
Y5qzBbFC8ik6usGHzWg1xqXmWX26i3LEpB6x8BtMYK7g0MGgzRcU9Y1rVFcuW5SI7iwddhbgj6rr
SrCtipv8lQdXAegYnXei4B27Clz8ZYZB8mgZsX8qGuJCqQNarpM1qmTXB/YuxI+wNUeOKWvLVZ18
MLdeCX0Qz/b5n62nCUYBAXmnBdR3/DJxnLy8r4FFQcsNRH2QT3840nw0mNIlwz4Cq6KOS41ooPXh
tNHOc2hBBMh2NZuJlWMgwnchxQULr2HPRC0EbeamhqppzOyxUr8pjyx+9pGpF4MIaDp/OIl/MP/9
/X5QS4SLWsPB/8OB3w0JUHk8TnZNLh57fTo2Kc+XwY1fi6y/BBOP/N/fDerD/ngzKBYcLnTOJlQM
/nwyaS1p5+FQAUiu2ZAWQR/wsGZrUlD8caRHutz//vU+2ljVXyjwsKqcs0/exvtwiiwaNnsWxbAs
rvVAiBU2NPNPYParhBuLnl/qfAnwXpOqG27eH8FDiZC7pTNAbCKRkeYiGvtazoS7xpY9zh/e34cg
xPv7s9lRYsciwv1L9BYTT4AfolURMYoMbI3qv27ESoDB4ImUmbbT2DYumIUbG5tu9SUWiz+hon75
SACvkBLiQhEIJ5b080fSTc7gVABJdj7nbRxgYQlDevjTMvCLYuGbkKj4S7GL4zP9uAr0cS8Dhzb7
HWN0c+GELFxF5XTLGgsexPO0JGdHJfc5gtT59PtrbPx6jdmiELWCV0LixPp4HJ5EaskmG6Kd1QJX
2WVW6Z80Om5eYOPaxxbn5nTt0z7yCBjtEVAmo/rKHqCqS1R26MoUAbLeInLXWQ+qI+wqtpOAEnbs
v5lRlEXLHEgE3V4LWg6u7+/+P3r1H/RqobTVHz7oX5gJ1Es1YYzb+Yfagb9/5n+ZCaxdiH8MjQRm
fpN78h9mgv0XnHSsdDRuvefr+b/+YSYgpnxnJJj6X9w1FDZBrnSF6gD4p2Tqu5b6d5NW+LX8/t8/
aqusNx++aCx41Bb4SOSEcAjCKtXmBxnXN0qAPqWX7UwvfKZwZGTDxdwM9eup0Jy7BrZroXyKXi6e
poHlp3enDfuVQ6c8jbhQjL0JE3/fKsdjAexs7ysXZDPp1cpVzkhKV5tvU0Bqn7Yd9gzKQakpLyUR
KP2ivfsrldPSzPCBVl4cbwKtUOc390LFgHczzPEq9br8WLAF47fR52kOdU0xiwEIWbk7MWEua5lf
szO1ybnhAE2wgjbKE2q3gc02ZXCXYhr6e57L6TJULtJI+UktjKWDcpi2XfjJsfJ4YSj3qat8qJ1y
pCbKm6orl6pwWsyByrmK9WRN0e1jj6W1V97WSblcc+yuJTwlDhFygBSHFzZWrthU+WNN5ZStspqR
tnLPNspHOyhH7WDh6oNj/9Ypt62lfLexcuCi2rwaEk8uttIDk03IOzGn20Q5d+euCNd8qotBuXpz
7L0dNl/ki+tA+X57rR53lYmHdOTkfvGVP7iTOIXJkW5yf7idRZdfUtb8U5x5Tb9I2Ham6PfZVVOZ
4bA2PMlUrKjTpx6H0y3BMmtvtpqSdAqeNFUom7va1II7wxJsddJpVo3s9vvxpmZKVsXnpsyGp8Bn
vIdI7D+OuZnCIKbdZ+WUuDQj6YMZGlI8OWwvb10lTdNMyYqbGdLedaZXPbtxwkQ1cWX2WKSFfbQz
nOm6kQFqKt4n1CJDDwr1qjlhbvRWUGcEF8+nyQt/lNLujYpTSKtks7nUiwPsP1wVtVe4dDEDaoPG
VUJ7RPVCXMKgvzEGN3lxDebhq3e1gYxD8PiOfqMbMl+POdIydQribDpjebTUxBJ7RvJSVcwjqId3
GbHGKXuTHNVhzVmJblub41sPkIruytAaQSvRozjT2rWDV4dOY4MroFfSA3dJnc7jhC3zc9O75l4D
M5csw7bjqjYl/yaS4w0XEOWG3tV5wYZO3ONtRBjp+JVk/KZ+pVNjemOE3Jp2H0zpzkavUeH0cLqg
5vEec+opL/BOcESUtpMuzYnPgc4MfqEAeFGvs4bD/iTZjo9dXj1HfP+2MbMSFdlHZAzGGDXVjbrs
kU0wm8IaYxuwPFSG3qy+Uo863gR9WV2/v7MEmoS3kb3g12fIwbfhrMROu0HONIPIu7VGZeXUuvxb
powFdMb3921i0TLvwPphi80fzhaTkUVvdw/umPMPM8qP9rZkEVmBlZjWut9yBh6s5OX9Tkvsjleb
iWdTKTSxRaV801/Dcy+vhwqtDCU0wZOLIfARe4HxaSiU777LLfcWyri1L1MULoEHAREDF40R9q6F
XM2H2veo0FquMnxGMFSbDITj2/vWmNYy59oTzkTpmjAugZ54l6HW8nXEHQnqnK73F99QG1g755mN
J5xfJBGFGncC1peFkXb3vpGjTKi8A5Xu03fX+ev3Tysf8vIuDidEwzYNim4poAYsy4QrN7F7Pom6
pajM8egzxgzOr+8HglhuNnLXz/wPmYVnD4vq0qAfddkm87ktorOsp5tea+9RsMuFtMsXmvAWYe5M
S9+7MroeH1p4E0mdNssu2uVJ880e/KNvlkiLODgKw72MrYnbJdoi0z6GTUuhmj56JwdDOmZnm92r
hqw1lUvPoPW24zmGTKA4ICIWzoVp/UMrEnF2JGt4ika1ctzKXAqXtH6cT+d49EE/Jas2KA9m4QY3
otPGazEaEKnKkHTB4DnR1inTZEHhhLUGUYwJkBzUTsqsWnbIkBGauHgrQqSZ2vhaF7I80nteHZO5
b9eFkYs9WIgvjeh2hWff4mRFWZG9iY8iDJ610HhCKqMrFjTKXIBipAS1I71ZAK7IzWmF0QvbE8gz
Ctgdh5mTSVsutWbzWy5t7AXkRVRObsN4465I+urgu+mW3HK0tO2ZDzh2xGasOWckNK5yShQPzoTJ
BJPFPh2nfA/uzdwNLMIr3eurNccFxGAfPH1IbzZFZs+13qvO8lI/AS92Dw03Pm57umNtGTzrArVG
y8H0i+mbOVWXKvbcr7GBZxN0m/7iYjJdiTS97wjgv1IFYK75rkOtM2sQfH2BYR5j9gHqJCWHcp5Z
D0yZ7ULaTjBbAMheMpgwkFHrvH2jIj5Y64U3nQn/DECH6B3slkVnUGJSzE2/nqVRnErhUNA2pLfc
VpSIOIG4Mam5WA/I9CXeDC3ZpUVarayWep5WGNXX1kZmmHNjP+VlCmKveu2zkjIPr/VXiZBPegBc
Xy952vt4XwAX9F9ACT3XkbnVpzp4YC4BC8ZMJbIjHsMS4eMK0fwhgNaxdPga4gQqwiewke2yoFi4
I153GjwMXGwSvDfLteXFxRP0QKua2kO4vkrhONNh6IIBB61BTR7Jy+QhUSMWq7UoHQ3c5Cv+zuzg
03kH/LQNVqXUsNA51rBJW342zAECzp1+doOkvAX5SSw2qtlZmSrJWDXeuZIV9c/6lL0MzPfPDj0z
S5sd1qKhWWyV8S1iJe9i3M5RQZF2QD7ER21PwpPE2i8OrRGIkaHJ7JwNv+43XljnOl+J8LFzRu3a
EY23TE0MvnyI9HkETaitZZr0J7LBFndMEYSLsrYr8NLzgPY79uW5xN9wsMilrQMAiTBA6+DRhy1w
wQ8ZJ+u5rQt6xP1CO3ehZ+/ZKaRboZf1Oh6ht6L6lxQwNuO3IjeMa5GH3cPQxMMOwnD9yUE/RRma
KJeafbxY7tCuNKui2sid92nOLgzXs3bQSxawShj1riRXvayaLiGbMAXkNITH28qI7VnZZ7fNvEXb
BMN16mj6VRNQHJqZZbOtDeLI/ZAGS/YMVyMpMoALW6QGfFve/Jw0Tcnpu5AEroa6Wc4iFYs4oqon
t3R0tia1ttR7Xo1xNG0bZkULow8UBrOVN3PKHi+VZcuTS3rX00A6jVrLgXxNqj0zrTsLOlW+ImCw
AXGmbuNXTrjps6BaaGhOWCDjeNU3M19xIDDKc3/hCVpeM6zD4s4BeNHqg/1oVuN2pDRu1Zrz3cSR
9jzGqoLP85Itif4tNUcU1YhmXcoy/EpB+9bseOTJuszWMk769aiP4yGW1BNTvxfshzo4xWF9sQLb
XgFDT/bTTKlykDBdwYqvRRQQYUO++Cmrqzi6vebEiksVoaxv03xIwlvTSWo6THpOsERQBkuq1kMK
mx/p9dRxZ/l6ODGiHbJp3I/sf+eTzVYFRHaYp/Z6ahMq/byKZk+7T8ckW/DcRgnJKW8xFlR4RdOX
iBYbaS0cE4MEE438E96vW9VDuskLtFGEq+GOQe28FtPcnsPELjeJtK0rjHBP9WzSVF85l9gvNVqf
uu4SkbJZZdS7XNduZX9ux3JaJkYxfxat6K6G3NU2sZBfm3AiPGIb8sqT0ly5HsZS6kkGZTVrbzAm
GicMgvUlZKuyNgIswpPmvoBmCxZ13ievQ0f/ZEw2hIZCyihyLXZovtZ1iiuoQpUyHiEwehGPSlqn
sFrHW93z732NkiMK2Y6zyUYb7fHNRYtbWHVO45dIl1lpfYkyo8VDHvuHKZydYp0ItekPsfx91jG3
vrmpnZyGoWjZx7fWznRiwmiJf6cDgdIVPXLW1IQ53c9z4FE6NFvTySItdgtEcv6UQVS+aqP8CwfQ
EEgwwi+mu055CosAiaqIvtR5zlNfq/M3V9JEgLOo66DKxnLTCJ1G+9p31gZO+QuYero+TXEx48S+
NpM5bBfCyMyDbvkUOk0z37S+GB6dfuiP1KsVpzmTtKTWU5ddp0XtwpD2zOgzAUbqHoMkZjQmIh4F
OsL6exyzZB+Q+d6bF+osHDK0xQVvvPepgz3yPJt58XmOCA1hJzctJlIF3Y7LXh+K+0LFz2wVRAtU
JK1lYQQiPO9jFVerVHCNqWx6jtHBnoWKtTm1SrjZaC6EIJKhxJZbcguFbErodCcNV6hgHCZTFZLr
vmfm2D2rCN34d6DOVOE6XI3yG3OqfOeq6F1D0GU3ksZLVSyvVQE9XOCntOkZWISE95xclzdhRKCP
KiOc1yrkN6u4nx0S/GtUBDBRYUDe2AMHv2Dl+lG5oSvP22fv6cH/qD5FF3fTH1QfRPHfF3Gfvw7/
9cwz4EfZ5/sPfZd9XPGXx7zBc5W/DGVT8TD/MSj6f7mOjqEdSwwW+5+quG06RygoQYd16SRwXOw5
32UgS//L8n3TxqWhK5gRv/Bf6EC/eHMgoLGjAf2ko0o7Hzl9Qjq11PWw3JN8oOI6LUK+suzmznM2
/Mkm9ovazmuBzACLiY0JFJQSZX9QnGRLF0LtiWLvElU7z3IS56Q3/ceJK3Cq63/LYsGZCJJPGY6g
Yxqq1+7n12s006ADWOf1clwFi0GvsCAnI2PeblQ5oy5wKG8cGVUODl73H9S//0Ng+2WWgaKGFZN2
ET49GIgf/tha03nGtE2xnxnrveUZ0fRFJiTHN9zelxHGEAho/U/4mf/jEttcLaoslIruqtvmx0uM
uzppBs+lCSsXKpMUdW+SbguEg5gzeqhP//oFYWmhjHITIQfgtVVv6IfPFKT7WBlt4+8iLaBs2FPN
hCRF17lnai8m4t/z7y+r+OW64tg13wcE8New/n6YEU2gpOYwGCUoqZH2994JQIvPc01NizdYDOKm
PhZnDz/s3p1ScaGzsnikbcAdlhHcP1wEbuteuskwWJWl3UuiNFF7EqM/Pk2G94e7gMAOF+CnEZNr
E+Lgu4+86/Nl//B+i9xnipt3/c4GbWbda0y5g2MbZqAfwpIRYl6HYjgIoBZZuHhnqfMdnC6azxjK
0GlvPLzn4/KpgkButo2zwJvKvURjXHnMZ0+wGYwYS0s0snz9zmUnnM11oM2EB1hvtMw2tSaGzj4Z
s7ep7FGctcal0bF3dYYr2oTywYPwJqBSIlvMFOHYnz1p4jVxmnmU0N9rEOQYS8YbdrmoZDFjbX+X
4OMDboSp5lI3RsMtF+C6hNvf0ljDg3KOhPjKXTqS0hJMM8erzuLIfjsW03Aq9IjSAMdOSLVCUoI7
rxYCqjP4no5koW60AX+gTxeeR2iqrp77hJD03Ojm3pEpDPURz8uzl5vyRmcCnS/9emb5GvXEZ2fU
2K9eg+RFSpl8TS6D6tmMuvGi1Zq4tzuVOZxj8PgMiIp9Mfnjs0PCul86liByhHI8Xqgp5C+t6G9f
5FnLC4L+JtpHVI3qDG/AR9NzHb0ZeS5oLHHf+3xo4Lb9Rx7V9qsDgf5Cpbq/psTTNjc4MIDc+yOM
+MW7m+rvezVKQqIkkRkDsI9VvoYEA3od+Jvq2Zgk6J92kASAtGZKI6SEIM73ac0erFs4cJn6dUdy
4VMkB//Rq1hPV13a45QENsV9Qsud9Vq2aKpRWPHlr0mw+JgeoX3nDPdI7nBnQPXVllaIsNnoEx+/
WZVAOPtJxUIdg0vKt5vY5pgwjv8bgC971fLkR4J0eKTCW0Ol/lY1vCfDgnPn/fpbY2cvzd7j+EeM
DFKdFrWIy75+fv83XRAUy3zSE9aNOQJcIatb2EFyNYQUdAJC5waO1NfD6VK2SrAyguAoWol5Q7ZD
T8R69PwLpnGBfafzTBpHuszTkzOJ77ayF16eGuMdxcVszLBYj4HcUD8xLQJT4weo1xD6fhCdi5Ej
zDUKFFoqJrTtpPfJsGJ7NwWXqipsTI2lbRMsiigFORmzPz1jQh7eJJQPucQdOsc3w0Rv3qeWyx8B
5y/ktjWiAnyfnuLB86RGID7FCmkjD9HMeF8hga7HmPReUPjEjE0oL1E97gfsrhtIbObZ9kqCuHLY
Bf40HommjvdO3hOwq4KYj12bqCygpKJ1I/HU6ka9qqLJWdBOKq41wJ6XAeA8QdFA2i8dRXsW91c7
wFP14/EoXY1ULFIawSTdQNbTy/nMMCB8gz2PLJfH7oFEl3Ou9MIn9aROCaIYcj7wUQ2DZ4aiW0UD
evPjiMFEq2GxXHFz+wcLNAo8bUu2/oLGp+DRJL9UrIRmPXRRiADc1K+FcJNzkpEN2dWAZyT/0OSm
a+iWDSnjAscUCf4DabIfLzzmuJeNgD3uztECntKkqLdTi4nQFp3/mE9Rj0Ur9HJ7YUs5XmbYzY9j
xN6C6GX1TGoAe4xMh9eReoTHxHZYMEsjvYfql3zC+8oXy59scx/oSOkxWLW9V/mqItfHyMVjtLx3
0DzQOahF5s+gntQEv3OgXUX3P81tJV7yRtPm/RxZvbc382Y2h6Wo2nFjNpBpDo5hmp/nUNrOuinS
Q+ZXwYkqr/CmIau3p5HpHs5A/Zh1zeuUj2r1j8Vjm/sY4nqu0+gnrPMwQ+KDX1bGS68F/bDMokG/
qvzBvTMcL3WBmAx7bDuaXDEcE0u+l+7RCsrGw8VpFNdjD0xhM1vGYx551aocWyQLbEzAWiajZoCT
WTbdwmZA0ZerWZ8zYfLvK55YzQOGSYNKIm+IAYPS2lRuZg+e28II0x5bXZtqJ3pXey5djqIxd3b4
xGiw3JGz80AomDpqKeqkK6ompQAjaJ/L0WMvUnW2dzKV2TMVko+19ol+x1lrsVhYWUgzqddOe0oO
vLM2TjwW8hKbnJY5NDBkTF/sAJgd9rGZm6YmEn9pQ91bhaOmbqUe3gHKmhrXGIoDVsMhbheJz++R
Bu/G6bCQYgE0zWWWQUmgDCXhPbmASBZxBSURPHbBLTiaDNOdrIrzVWhQDIYlrNlNkWQdZA7ftlvm
Dt7Jr7BkJER6YMvwMMmXlASON5XJyzs2ctD23elaNrywGczW6zwlLPjvS6AbkWBfu9h0ufWxnEU3
3VB4DIyqwToNfa/Tj2JjD2o6rX0rTBxICwEiFVf7XNuvbsbzsYUog6sRvg7+N9Qe1a1EluZAH6lw
tn+/LVHYFMfUEYHrQ6CpolEXh/2xzvAlygmeQCfZ++Ye4xIxZxR0GFTTIgT3U26NV3jLiHrq1IY+
Dwbd2NcGMjMfVq4sT4OceUl6YSf3YtVU1PG0UKplvsiisCaiOni6dF0isJZz6NM2qZdxbU93AQ2i
z04kWFinRkO1qBrKNNMMcYpHhgjvB3dGnimpjThZs+mhpjMQv8tKjcbbPtK+dQ2zkqgfcJLyntnl
vFfLGOPAbeFlDU/y2u9wTdMES7ZYeW42jWvR7BKOsbqijEQYTdmQfJZ95ZF9BmTQFXeB+kSTxORj
6nNl68badtZEzamhM2Ydi5uN8zVeg+YMdJWlsWx004mt5Z1jEsC/k86YAd4jWx5G3iVLQcXxqKr8
2ax4NNYTxUmAcEPxkHjsljFSDh3FQYLtRqaX9MzqFkz7IMvjVTeQkB4cEES55rMHcY1IP6SQuc5m
3kkUpmiCyDLVKzAU/iEDn3HFx19fSqw5+1RG2hPpZsLGHbA7SbppaU1evgtx/tAvjtaV9YPN3wHJ
qCBfudBd/4i/M1jWuXkLcidemU3Yb4QeUn42i3zRjGO9L2UXUjSbiUthscSgeHXNAkM1VrCUHUnn
5Ok3LbbsjUdh647Rdw6MrMZZxjdwIANUfCsazCwZ9pYRcDL3NRuDvtavYcHo13Y+yZWkbdxpp3w3
9na9Zm8c3I2ElzYJD1GaXqNhPVpARfTOuhoZINzyafNcLsbswJMv31p5qi3o6+qWHq0LoZ9d9YC6
AcNH07U+VeFDxbTguSkN81ySWaObLNTZQI74kP2MZK+8MXNxYedXrAkH6N9sKC4H05RWjPRu+Ang
78IdrMDbacn81a4dPhCr5yu8IZ1I0xdR06xko63Jigl+wGRl6qVaQYALEELHkbx1qUQ7AsTQQHNM
dXXVphk3aR6x2sQOwJrlTJYiWARjhuA4pUMCNJNt9+r3xyh16vjpVILtjwMHJkg6JXXj47GfyUzi
88QjOGW/b/rlyBCqURvf37/OL6cfjyAaQgWWS2gvHNx+Ph76QdT1SdlVuwzICUNKrFj3das6ySw4
0EfHUkeX9+Xw96+rTtcf/j7la7TJpDGA46T48+tyJM/MpCTTh7js4Ktj8p63IxVZgxuxfpV5MV3I
xbAW11Ltcn//6h+tNfzREGA5FfMF5018dJchb6OeCKfcDTaT4cXsNca9p1bd5L2BrAsr1nymERxL
1M7bsDwW9/e38B+f1p8UO2hffBy/yRWXRfda/OTTMv7+me+CndCtv/Dn8dkhHOHXUgDH74IdbuG/
EKl17mNl40Ra+h+fluXTbcMBn+/Su5T3Q0mwZf2Fkdf2gadChnE4RP4bwc5SseUf723ljnIEDHM0
Ow/946MCUs1lagBEiq7dqvIFIfdcQw+PDHvJgpROO7dMzWLTpyGnMya71VUIl2eZxWH01gYehiTc
1wYMDV0dO6K5zrHotK7zZW4MdBscATA2QSWeyjptsk/xTPlJ2c76W8LNytaegU2/4KZ3p1WuMSTZ
AisqH9yuc8Hd1b6Uh9GMmwFTEato1KUjHn4jmxbp5KRXFf64JUWllJ1M2knn4UnrU+XRQZEUMzPe
qXmRvdEwSIiyvcWqNC2nhJgGWltvU30QWhtk78hYB0NhR0vLieKrTJbDvs96FyZX3+xlmdNmgqFl
vJW1tjWS3liVho/lYzS3kZbBP885U/Gupjn5NPJIZ9NhVque2qrIFzEH2Fk0AmZDioly1ZdZMlIZ
BOikwxwM8JJjU9MuaTbD87Pgk+cq63MvbmIjtg8kRNqbtgIpdxwIn3/hikzHlCRD0NzPTjXvu4ZJ
t3V0m3BM10kjFrhbnbHaNh7ztbVBWcdVmVhZbGU7N5sAiRYbR1HryA1YEP7MHfMQTsYjtpAKOuBx
7seiYeDCHEsYI6VgaZ9EmMrZ9hhyL/JU+PKYwQOLaX4ZBRVMKUcPzXWrVUXg4lkSJr+0LcCOrPa1
8c0v3Cr55kOXxbunQxY7001j5+KOTb7YOF3ssp0Gce0+wc/EioCqIE/ASzjuFH3FhQL2FS0nNnP7
2PILc91k6S0Vo8z+FQ0CmMJwDbdULpTDndtyTMsVLg5oZYR9Dl6CBREeK8S2OE63KZgpEVfMlJze
AqEEDwerVxMVy6zuwoPndVRNWyZXe2kkXrDT2bl3+Oome5+PerOZ/bl9LY0q+2J0NTxBP20dImc1
mLPOC7yM3Uyi9IDWZ3yONWthmWEGlgm47s4q+pcosQDKzFgIbjSuoA3ZpApfwsbSj+TYMOeNtraV
JlAQl5e7yhyTDtZZjLdF2YltNKRecg0twyUs6BGNSw09PRoipJ5vMFq58oDG7eWg2+eYrJCxGLvM
OjleMh+KYNY5bOvTihaNV94j/hc9x42UAWyLYKiuess54Sdtn6IxDV6iBlA+oDu5rdi/rtM6LQ69
cKsHJIqzXbj2rbqzrwPR6iuqCQmF1uJqTtxpgTWG3ZJZsWuLK6PhClT6N/it+nVJ6fVTCNPx2NTW
cColtvWW/S2kSCfcJomkuTYma4s8R9aPxNq2chr/jj4Dm7GtZ5w4nj7Ohn5dmOz8XS1wTuks7VMV
19qOqNLwya7LIVok6Tic6FwxnnMwrMBfp7lErc908+IYVr8WmDS+aWRn8yXyVrRJ56Tbk0D8Aifa
XzZxQPRM66faZxTvWHeVOYzR0nBl+cXypvDeTqxQByHW2J+7nBBG4bctv6PS9pkHXsk0K3z4vcyI
/TglwNCa3AmhmXUg6bk0i9DbjWwDUbkK6SE3j8mGg67gRu87ujb9qL/vIs63Gdfnnp0kwNKkvHjG
dPIHbG92Gvg7mn8rwkBm7R48gK8+kY/MexudIrrxMy+GBlAWbxSy+qtMn4yUzBJzofVUWgrAJfaB
k1y6vPE4EssR4P9k3wmNPPVCIOnikzeDJaPaB+QvQdesHcLZcmtibJlkZe9186XMQmTMqNdW4yCs
hJCaYz+TMPBXJuHDSwmadmm5zfCJUkP8S+ycroysStuFdMcv8KbkWhpm9y3EPLlM7RpGMJvT7WgZ
5hMj9Px6FrF/LUdvvpkK5vAiC7sbo2mqIzk//Q6Nbk6XhFDTelOWbbhuy1p/9aq+WVl4TC6MNUkl
T0NkLqOk1xaW6MJv4xzqu0IW7rMJX5QeZW4tRvoDWU6M8BzzKLRYFSUrvzc07Pk96VwZ9Rwu+UZi
qA2F8cBEujoi1UaH0m+qm1pgleuYE3Bl/Wj6Cu24u7NlWMPDowUIJNCUUacp2nwZjDXVX0IaDG+m
qaeei/bKPDbpVqT3ntKy8mpMqmSJiaM5zUU53Gautsbf4F+xnbTh80xxFOxN2B9XkU4VG+6VBGSU
NO6TNquu3Mqb7vRBtMSunMi/WP7Y7aTXjXuUythalFBQMZXF+jXtt+mnnBj7p9ArmpsC78hjlQbx
sR9rvD6DNz9AlpxUdwZekEZO64BTLRUDRRutLP7aEqCboXd7uFySs7DbP1iWjhAaUyux0mIb7qBN
4SX4Qv2mbt3QXLu4wg/FoFnEUNNhOtoJqjzqHVRNr7RMrmM3PFmjq0S3yNlOYy5BuNXBfFAWvy9M
QHQ0zwDrdNhRw+kkiGXTbLc73Zp50HuYyjM8Hm28we3hnNy4qu7BJ6PTasg66SIMvNhaecN46uuy
2dC1AS7xP5vj/884W1gMk3+3Od6/vUblj7Ps7z/xz9ZY0OBo4U2zBJyZ953s/26NXbg5Jpgb4/uQ
+3uA4XcbY/EXGRyOSKRhmLXw3Pk3G2PP+nDY1NVvYGFkC6OybL/Me9mu1b3tBs4ZLJS2D4NirI8F
iEHgtXQgw35c0APM3vgw6r6T3c0xh9/PlPR9jagcubPc1LSXojTvHUeMgCG0+AhyaAQPZXicyKvC
8XIge61frjQsjN2F3UjIihEOQ/2gF3WgLUjtZmZ+TP243WJITZIzwo2PA7jOvA0E0GKfBxP89aQn
zDqJcFXkmbViVG5vopjWunXi97cIRkpX0YfglOF+PLW90W0nR9YHw2+GNwqfX6y8w6hIHPq/2Tuv
5bqRbNv+0EVHIuFft3f0FCnyBUE5eCDhzdffkVT3jRLVR3Xr/URHVzBCErENkJlrrTnHJLW58vZC
Jeq1KTKxRqrn0lho36wmxb0PaRnNrCeb+LzM8XQQqrLxgPrGdZkaIRRRb9jFwjebcA0MA4H/2lNY
Yoed0+aoVmQypjf4/+TzwOHY1qdkwrzUuk1icT+T3HTf9XW5GTrxnDtJ8Glypvlm0udsxYF7mnx3
O3CCD62huLNTA6JB38jrpiiaI84lBHlpklwKfXx39EE+MPK3oKtRDBM4sHWAyp7rIgv2NP6GL23m
hcc5ZJaWlWZOmHDSaOwAI0bEF/Xab5vqEMjke6/LB6CA02fH9EfGvQkt3VqXGHWR+6+MfUm+8dKY
z6Z6LpLiuTa4dFkr4gXicSA4xXC26BjxaWaJt3aUR33kjSW9nByJLyf+JCgevIWe5goMojrqO/JT
PbTuDpwkVn0MFdkBYX6dQMTwyMusBm9TvldKAoToDKV/0piEzIzu7czMbue5XW7CMRbrWNdasSWJ
SU/E5HAVq8Lx4dl7O82hzxeGlTyMbptfHF2gMfaxrmSANhrQxHg7NnWzK9t2+tr5NnZ5U9AH6zND
/eDEk/araLTNfeGl4wXFYcKppmwv3XtBOLlj9C1+rxIVWE+SIkt60r3yzibi+WqVdJ4gMnsWK3bh
hSY7jItyXbtDsIr8tn+yppnAqtqaJYDorEb6JLxkI6GI7EiEBir9XqJWdNDO9M9Rp3fvizoCxWYX
sNCTqD7i5nDVqV3m9lOEzKtgcCNxpWNF2fp+HhzgbriXxjG+uYtDHlMca19zGMECbYyRo/MC7sBS
ltp5esPBX5GthsY7K70RFT7UwzxyxBeQLPlO6n0q0zvW8r55uXof4xRBZaD3tkDvckYWegTV+OGu
72CyrEu9FVbvu6KvN0jfZS65IT073s6kJNxCcq+2S43QzHUZg3WTRTUM/ZDOruPs/Xzsn4BNV5wO
S+Ir0lD3KYMoORsKaqmDSIBTZ8BbcivEhCuZBy2BWSNMaL2nm8uQohYM522id/xB7/0D055d7DD4
iIOZr6Szw6tYnxFcl/NG6DePSWa494HVH5rSWm5GBHC4xr2T0/NYY5SS0zEJC7Sqo1vdknZhbM33
EwkSjvkBzIC6KvSBReqjS6IPMYaLFr0fG45c78cbfMnew5TWch2ggLUmJa6QUaII5zwU2ZyMZn1G
YvEU123PHo5rJV4jRrFYFOpgE1mjOC61+Q3rGPNGuy6PQFLksWjx0Cf6GAbolMMwX/K+0Qe0MFGP
hqdmAh84jT6gGZ6/wzlTlOLefJhT9KHeXNNzbvRJD0FtvDYTJ9t7/aQ2SchCLuTSnZO4nz6VubB3
tSqjtatPjgJoIT4lFqJAnytDiMEvViXiA3PwfG1MOYlwdjcbDLQc94VNcDmg0TK+m2ltrCZ9cp1d
u/+RMtlgOJtU923tmtA3ihWaQPEWLUW0rc08pxM+4PUeWqNZK2I6XuQSdZemyO9bTD6nOHDLtaUP
zjCEu9tFH6ZHfawW+oDdUmbUK9zky9aO3GYPSixZI7j0N23mD5vei+3vkTYqjJzae4wh64w1M1+F
2RivG9cxLrGBrL9Szvis3o/8+vBPvGiA26ZyX0gw4tmwXEXWgA8FG0HCFYNvgwWL8mF0Evs10yWF
r4sLMyzL/SIq843hsI1taPmEGjZcS12SOINLdSKM0HlIEnMC+bT4xyLI7xeqGWRLYhU0TKi2mdDV
TokZeOMlw91IG+DZmByCjPqC1rmuj9K8ncuVUUfjk4jc+hToIiqiX+qzglJasW5C6O3EpaXtf78s
/S0DaW2NBdTf67rM4d57TGcAEDqwlUdCV4AmrO4lio/IEu4zzFBIv5vKX1mWZmDoki9h6rCL/C7f
tlZfrIUfXqBqZvvKbXvmxamPwwGm8wj/6MgDFe96XVpGNLtXEr0zEQdhcYmchuV7DMc3jvJqbxDg
fl6G1vtqenn+pWGWdO20zV1rFc4DmSKfxGy311kQ1uh4Le/I4G/Z+73Xb2vHG4BYxP3JcYu3VNe/
cUoAU50lOuQVy1e/5J67Ilu9PSXIkvEpRjZj0bK6ZViYgXcamPKm6R38avkCbXy8QNMd4hVOpeEZ
dY5xoD5wLoVK0hNtrF2lS3ZB7Y6B4WkyRnslCOnYJqUV0j4c8kdUTWrfg4a/gQ9srqdWkdZQh999
PG9rDEnxHrsG2hCE9IeWFNVLbNvjWemWwhC0VEgtcyG1AIu2XWf5Qa7LY1yU5VpmqfdAgePsOhPM
Ba8PWm9qXQ2sqlsVm69hiwq2qGxo/6q65KMxA8qeLqAT7E+5bnvUugFiG82wJ9Y12EGiCV8bmnt7
e0qaV0S3KLKDPkAsT3/MG9N+x2D5dQSggbuOFkuE8jrTIuiczovRO5jwZhJrPd2WCYJ55WVRfp66
s1eRD7pi2jlc2zkxY7FPsRULL/+UMj964FCVncv3to+jO0DJezOo0n0hMljVNZDwXaH7Rb7uHOGv
J+9Gd5NoORU7Ecvo4pGusm3oXwKP0L2ngTbXLf4MmrZ2jovIp4Ce09ShMTi+tiZrLdEKjtqPo7nc
KEyN1OqNeQJLVe4o9qe3/r3l1eruV/jeCMvyqC5XLna+jVMt09eSIfOrS8AhILP2rYiCcMML+VH0
Rb1Lkd1X67k0muPcCn9dpJlxiJYGJYpXZ/AfTTsrr9QksReCOCCBoajjNaqJb4DPJYDeZWRLY8K1
wvqPGzFLbzj3rrtEgJKCarsToWIHHUPztOh2IJuw2sS+Lw5odsQPNKUOGhf6hn2HS69yu2hLCFGz
4ujRbAn4u3OgtgHjEGhmwhBQUF1K0LB81a8E/0GzmcJw6723KHHVZThE+3YdxUa7qX/2MXVLs44Z
de/MnuI2WcQdtJZB6+ailGSQzvw6KS+/IcWIBWGQOWbGTO7Ckqm5+eBPYZ+SAzyAePua9AWdqFVR
5kHx6E1xltmn0PGT7NwhW6oeRzoYpJh33ybDmFdByUl5lTYEpFg4YU1vWJdj6mxIJEHfMccRhTrt
wY6Ux3n6rki6+DYGvELOCM5n/k31ahC8sZvloI74YqZmZQ5EgYrWT+Cb+PVVrfjbVetWLxZPnpXN
zY4rEg8VoMfvcTyg4HBUtUIlVn5rQmFeVcnkH10w6DzByJKvvd59XGKGVDUmzm92rmj7Ld5Cg8cJ
xi3Gtua+KUChpG7RYJZUxZ0Y43hD+MCMpyge+4Odd75eDYBV1Zi5KpsjjBxbeCtRkh3cJre3yB3k
WZQtKG/BID9BB7rF3zhtHHcuLMa6XE9kqiKfebCfW5jNk2av4LdqTUOuapFna8Endw8TylkneTe/
MH+7iVIypFcCgN4DntBoMyBhCtddv4grJsJynXZtu2msfMI67PhuD7xZwcpiF8bTjVUPyjfRCqsW
xcNpKtL0MfLz7qXj6EnN1A7Xc7lED4WztIy9+bDDIk73BvID8BmyiK9h7YwNBGuElG6vxHFO2/oh
DAvRbZKKv9rjEz1mCIXvuyiArVWb9VMTN+ZnU/mEBFXRU1h44mJLUNU4EoVxsKQiAQMpHSmhgzh7
QaEeiBKhnxOGqvSuIGfbd0Ce3ryF3vtKLVNEEmIslrVPxFCyTqC+EGIAwPomy+f8ORW4Mv10DPe+
DMwIAa0p6V0P3Sf8CGjdCOJBBWgT9FREip5bVO7SBi/EZmrKBXNa52BRAyO16moSKDcEao9fFk59
KfxPp1011TTf1p6fIRUJ8uS+iQgvEPWCMZbICbltQd9spUeeGcbwhIHUkl6ceEiOBdTPa+DqFLCT
y80kjC+5Xy2fYhA9dJhNlzeHx7HaCiebnzOWCsmdP4o1fe3lxpgrTHOky+47OeT3pT4nWRD6yHvA
OWjWgpzXd30jJ991glHoUKahSRYBoYvUn/ogazrNxbE4XBNFoRHjC/b7uWaCzG2XFvXnqhv94sbM
0tYiCYhJ9BU9Rk7vGMJif93HLu4tuPvu8s3AejjemgFmRzdGH5OUgzE/d+WkpscFxhj7q9FR8Ha3
vWgtD4Jc76FdXwVWM41nPpLGJ5coqmMc1K1ZYTv8PwVCu9jGHXu9RNM+NLz6Mc+L6ekv7Z/bnxPz
v2IizA+DdOEL5N0YEXA6Cbo7H/Xdqp5GYJzmeB0ZrbMxAiBEphz4RoqjQYZcGL3KwtoPqTxZmbMD
+LhzYnPre+GV6hc6vd2Wt7oPlhTJZrL/84v74F34+dpcKUzb9YCLfuQDF+ZQo16R47VSzbWnOCuG
h2S4/ucXAZBhe7hbMbx//ACctJsoeofxOpHE1vN/18h3pVft3i/zv/P6v5nXY4zQ1KX/eV5/zPME
EE/7a1fy/R/9uyvpexhiPGn5Jp4YbbHh9/17YB+Y/8LX4kKRDhjncxMzS/9PX1LyR3gWsOW4Hi9C
dxP/7bCx3H8FrudpYq1LxiuAqH/Sl8Rz8uvAHvC39AD3Iw/QThtiH38VoyRuQvvGbOPTVAOLYJJU
0TvHs31WtUerB+GuTXQeXj2V1SQW6axQemMDwrQNJIiqPjRmQUg2JFb3tCyeHW4ZeQP57oSY7jCg
F/beZJRn3GVB2jzX5Ek4a1JsIshyoZ7XDcwaOSkXfr3KQ6qVVV+IBdYIcamXIIXzuWrHBhmruXT2
qkxhUFFNWM12MFMmadZYETrXhgpDom/UX4J09r6yLzNM8QOSShbGiatY5V0LyM6Rzsak0SQvgeyY
qQSFezXacCSKob9vSRjbeS2hyFD9BmGxsZvJA4S6+W6KRXfdRLK41xCNcutNlcFUwZ8iZ1U6IqLa
S9V97iiQE9FY0xGp5kM0usFJqoYxXOzv8cQyCIqrpNo5JagJ2cZIEDuYdeZmcsg6sVEoPOcBDtPE
avIHpuXuNojt14hgohunmoMNiXfWbS9TLSKY7U1sylvAoO2GLDdvazD2XE3KyG8tz8ivrXK8dwRn
WifPSe1Skxd/JadH7W2P1EY6WNnZLAqCedypvh8aFvVVHyfRFcdO+3qMS4vX1i/9RYzbWlbVdaia
4kc6uMFuyGxAOw559DTC2nuI21+dEBOmCdRp7RpxvXJb/kNYyXMAyGbV0KFcq9w5DSNGCI8kuYe0
aa17C0vL2UKdeJu0gpiyLP6SSit+cyp33LBpnGlNzRuHFBVU5aHNTq6Mu6Gaioe8yQo6Xnl7LdGd
rjs+kXUYZHdNnnZIcqG+JzyxnzAvhiu7hQI4kyW4UZMjt6bDKwW+Gm3EEEaPi+9BTUZoiCYzLSsq
7TJNkQIoZZ6tuBYnFPffcv7+TdTb+Z0HkTpmhhkG9x7a1jsYcQMtMPDM2CKX5drW0r5UsaNkBBPt
F6Mv74XkjvbcvrvIzLY1L3ilGsvecXRvr6rJWl7oA5K+a3RdjDwjNjek4zHp07K+TZ1l456De7Qz
6v6Mqao94bm5GoYWbTQ2W+LYkFQyEJ44d5U5mNSWe5ABKgF6fQgbx126J4MdAdv9vQ/GZRcivx4Q
puKMx9zfp7ex1dwYkFNMrBebILfvOXvk29JXX1vleUdUiE+zznDH3/taeE2+I/aigzmcyLNj032C
ZHHO529GhMa6MomGX3rxbENRXQ9zEB7UOBhXI4EG27BX0SYV9guLYXsjVTHtDLri6zyLnOMML+TJ
JmiMBE2vpXHZEF6C59xNjZPHkW1F2ssLYVU1rqCi2eewdTj4npYuuXRFF6/qDt4R6JcypITAC4al
yC429HKL7TiqZIdQcVrbHIXu/dDK71DVRkcS3Yl0pCo7BtiA7oopX/Zll5Gryoa9X7LJvbKbgaAf
azw2M9rXDQ3I8W60u6fenGHN1bNzTdM6LnnAqtYeBUgNw86DTW1SF9/O4WgVF6JGrhmOf6lqJLSu
uwSPKafCnS1LCNJ+Et7Olp/cYN9+K21Ft6YGj7Ek5purBhQ9cSO61xaA6F4Usdo0KpfnKC8pwaXD
LS2ifD0Uds75Ls5vZ5bdVTyx3uVVQ+SRV86vSx8QNh2yPg8992AyT/Mrvg1MT0Ui6oe6gQMiXIiu
flncVPBuCGMNOJfeRmgDj5aiJmJaYnPYy51BEKWTVkeVoQjgkNjlm0qVwX2Xej9URf82klC8x9jP
ITf7JlQBYi/9FUKrogrXdlL0E4Vz79DsV4lr7MyFcEhfdgX8c9J4WNxpZ079U5xjo7MP81B2AIsF
AE6/MuqvmZFWCELslIRhbBSS+qDBi7JCSOlD5KQBcpkwFt1NbNgPVhPyiGQjtx6dqsH53CIwOcVL
MberDrTWl467P0HrVUf0YY3Qs9EzK+++JrOWIgHL+KmSwj/Vc2jsOkiv0SGsu+OcWNENSPr8gXhB
y1s1AyG7cYaQYA1cPX5Rvt2iRrCLA0TV+A0hJhhYkkBTqElzZ18irBd0l2xFO2wZ+/A4KCrd0RqG
YQWzC7s7S/sPIIwczS0bsVU3tOhsJ1kjjCG8plktMBuAGjggvlb2tPTPIrTqt7oRyQt7MkQnkmGu
IDEUNzhsgh9iinuyV/PQujeI1nk2sny5LoR39ChQUA1Y7jenDNAEJLFV9+SVDbj2idE9OtVwLFht
1y3nh3kz540eL4Z8ijTqYv+pH2bnQmsq/2akIoUl0EvSqGEjjndhbbtP7CPBVjH32PWMOBm5I+kK
wWebcXRskmn6mlHV2CxGEciOrBxuJ4+iB5RNbNwmKS6plcSy8kJSa3Zt5SqKuIs721vLAAQusuzs
G/qB7B5X/EPe5jCTk6UMjwysCggyMQ+rqrr6Zqkt4oHasfXnlSS4t9jOMsCggk3lxRnn8Xvox/Wr
bxMnBmqWAteIgihYTfVsnBozHW5Lh/UGeHVjfLXF3N7MxIIBsyb47wBwTjUHzxjVaxBNpb+el7A/
KrOzIKIlaU3rxCvS5xq9gL3yK6tDSsL0jYQ0qwafovIjzxxBQr0UCh2hTYXPKydYwGvESxh0ob0t
E5FNGxO+8r7P7eQ+DJTYM8jy1iUjCyBavo2uwopp+DomAF4rk95lHrv6ZMadu3GVLSAP9y14Fm44
L1fLegK7hJ4CQgtJnN2WBOnAXpmtujP7ttu0TMIvuTFg9PdgEGwmL1XH1rObEp9h2bxAOe9oFkZ9
a677qa0+Z7NUZAwQSFWTelkv310OUFehYPpkSfcL+NzgkxeXxVsVtdXOiuEVbVjiw2I1Dxn0C/Kt
WREZzIpjglH6Klhs73XAEwKERYGMkpGDKXa2ZuuLNzIn7kLTegrghySY6KwJgV/D6LMErH0gDIkf
s6XP/ANBbvO9n4XY4CYZm29DMBBVVzrqleq8u3MCoDDrdJLipV84QG4jMfbcS6LtV5DYzG9BzVxp
GxZuZJxAKoSf4SiUnwDkuC2iq3g6920/U1caBrl9Tcu4HBDDMY2yW7SWyee69K4j/AJVXAwEvhlb
+D0Ml+YuuLM7TIY9GItNFBSMIR1IeDcEnhkr34y8fQ0YQ62cZrC/BN4iXTq4KtKoTbRwaTHSXDYN
y5zRUyaCNL8oum4xf2xHkumPEknVfrGdbrMoK9/1QvQXkwmg2zfF9ziVPUHuveuRjE7rGd8FTqTM
xUgVoUr44tpVuBsqAU+Cb3PRJBu7v4rlhB6TYxbopdChpZM0KAsJf7bTbwraSbmi+IRNYcQ5S4uF
OJSx0XOOPeCRBlm8F4ljUB+E/aVhpkMXNnP9M0DsYB0JzojFiEpyIdN8h/WiP/hJUBMCj4HrM3R6
s1kxN2YKECcOKCelpLtlKrqcM8NUpxEh84V3mF8k9oev4ZJ0wAi77lCoethFgVUe6zyyNjJbntXM
SHttSrPBo1x7t1ZdMxwTSXP83yr5/0e4I00zwDrxP1fJV8lXioe38q9V8r//0X+qZPkv25TgIU3G
aZ7rUNT+vyoZogQij8Cx8azhvXQR0P+nSvb/ZVIBo+kJ0LwTY8Wr+HeVTFCWpodiaLPfq27vH3Eo
Pvr6ydVB0G5bnqtr8d+dIvVkTF2dt+a5VGhua6guRTIdGgcSYRgLwrTpIwMEYwxnGiPAffz9ExmY
qlkxZ8IPlwylRP4oUjSSVNfuMhOsa+d2SrB0jd8ET6e2C5YtmbV/+aT/S4+Mj+Cvenwk+LxgWqOe
8CVhYx89LgggMGs1S3PGTISVPi5Rfb7H2g1aNYGVOP/p7fgfA7jQyv52SVuYIAWAhtCk4DP7taNg
oDJSRl9FZ8RQl6rzDObsA+6FfWrbUQ1/CY/4ASeteglwVyIW7+0BoCF2tCHcOVFsVsfQSzDkLAPj
LAKIQ1JcpIYA+CW2oC1pmMRNIAN7zCUcnL0dlphXWhPrDIkyWOjMLKSVWjd1sawBhWGwi0bCb8+G
iw83h/KxYXjgvHWl0ubL2udSAWEo0bYBf0bkwbsvZnQN8IYu3wjLe8ecdhe2jPNmDeNoTIubYLSA
XTcW8PHZNjCJLp0ycYeSorImyXeOtmMSjAyC9CsXTMWaTR1H8tE0DQx+ybvZpm3S+gX/FwZ4l1ja
1SQTf9qi4cRhP0AxW7vAjuKbKS5w6rzbgcGMx9OnpnZi2Dw1svRHSdXYnmVle/J6yUb8c643u+qz
tHqs413Tcv9FrfbpSw2PY+AmHw0LhcWz8okZfUXCqk2T7aStnoRGVEc8D9pISmbhsg5dg0sTz8mf
KvZWPM8p0I719A61wKucxrch8C53VTVlgaxztHj/KXDUtxSA9FM/u3hbf7ryR5M4hzpx72K351cL
sqPB2s0234Jrdx1qcZRM6mAv5E4i58wwQDmJDmJMjBw79+R0NYgxnHvkXEhHmmfQbHl8WvRX4mmv
NPA3DoAjDtdzUBsQB5izGB6mtWG8Qgm33Bn4SiDsTTy8uDVMf1PXidlt24Yge0ZWGsTSuHB54ePJ
fGuHXrTJnRp+rhyn+dHtJB0GJyAZokhDrHsL6eRvUdo5V/McuU/G4JnX46BowoCNfZOjnRxgstn+
moRM762MOIErS6DcNtHlnvFKT7cDowwfabFOFCjyMMPiOrmYPp3KC54Mt267O5ks0B4csq0xRzce
H++YMKu8Ed2E4Kx1IqPMYRXWlkkVjFtrscgssQ35lbwovjtMNvb4Y06RTL3wY5H+UNMIE6EQBKy4
NDjXHM6ct1aWtEHiKjAf0T3w9eSZgdDYCEe+22xc4HcsXqVe+GR4uBj/8lAy72K2BzlHtZ/fwRQ+
S3yzNRaPDziRbNn7DPPo2YG3oXANtoBjiWXOSPeV0y3RafWBVHfUe1aJI4gA5p6rENGTgn7laQu2
P9EOMA51yCmChXMZZ7J5zJbFMJ6M3lvqS0djraFGQsqwy2eL5XcpCLH4lNiiyO7RyTeHqTAakIQD
Hvpl0KEGy6ypM6Bv+CwnMWJxDIKID0IJrHghyvtph4eUp4ceKA7j9xs5mwy+uEqjT7Bi6ocCswy/
ZRo1JKC0K/mY9HoaRfZd7H6ecr+XNykHeeR/EYTer57mCsUYKCJswAXXNLIonQ5eGDXpK5b8MeLk
10fdNyv0u+y5YYUgBBYWj9NQmpcIPCGrG2HAKDKCj0LnkN+E5jQ90Q7iO+/yBmQR1e307PdhnX13
iA+VJODMGFW3ILuAHIIk4cFdyT6N3GNYSr+QKItcIY6xZP5EGaHTxcjHFq/JtCD0SyL/urRE8NkZ
euKoF5w2QzQBEiiq/tNczcY26xBzc2NodzSiFStnLk8sGAnIBe5/XOGIWzexVzgHcmdcnBo2sqSE
EC/CHUgxd1wKmQrdFG0LRXMBJNITXSysD4V4NZCsrrpSRznPZUeRit7oYGYy+pIDtfw+RQg+SrMp
bzrM2Ii/6nmb5c10B885enWsodwWbFIboPPWPZF/5auJpXMnS0HYjbcUzkp0XnMLHIWwb9rbFu71
LL9KVJR/kmlLiK9ou92i+XfGME3rsomWLZF3oITzpbg45Kts+9HL71jW1Svq2PhhsPPb0RNTugeq
hohrZpIsoN7vB5qSD1Hr5p/Gwm6jXdOV5SVgA9vkWb2cciPIdpCT6NbUYPIgT9KLTwaremTTUZ9L
JJUxoO22xAgjqmfIO/qjLXBr+K6DfM1FR3YN6sRCUjpg6Q299kfSeA1DRts+SMgYO/CA8ho4gEfv
WDgksE8zx4FNCy32XBMYjQ6wnnOCUKzq6MWT3EGuu0vDSu11F2FD/1t9TrNGjexSgwuZJjSH7VwQ
zF0j73sIFDpFo11wGxuBuzZSA54PkeTutRF39ZkFe8YBVc7H0TCD4wI5BdJi09C/tfG59jOwlbJ1
H4dkWL4JSApnhiaYe7CP5X9jL9YTjb/YbzkSeZ7F/95TNSwQWL+eT+qqsPw0V+Fp6qjgs1KHSo0W
mxC6HJ8eJUzekKf88OeD2AdT8/tVHeD4kspEesChfr2qHS6xF4/44UnxVS+JnbAwqE5yxvjzdT7M
Hd+vg3Ea/BSnvZ+M/78yr4a4cvs2iMKTDQODNVVg5GXAr16cKWTB+OcX0z5UPk4k7cFHjpjJM2xE
HAJPaEgRLVVA2d/TSY0EDdOfL/X7QZZmGZ4pzuLCxB+u//wvLK86Cjxl4A06oVI2r0uc63tnDHIa
VB3kcI/cn398PZM6xOQ2ERhkP/LZTOp+kr0LBxku4JafW1AZQ8tZI03WcJlk5uP98zX1nffrncmb
Y3rIpoI96bfD+oxYsQuaDo0JbCDm2Ibmo7OgsgOXuAOYZ7j8q7VRDPwsSNSa/vFNCpbO4XMWnicl
Q8FfP+SqtGsx5RlAjB6r6Tga1nEyx+r857f5+6PAVTwGongVHHzMHx7AnKl4iTnPPeHBAVuSQLb0
NOHkn1+FghLDs059dT4+5m5nydoxeC/vua9u4uVrOUGA+/NV/stt6QT4TVDt2CB/Pt4mGQ37RCWV
c5Ih/B86K9wURCTABiJQFpafmoblb0q639cv1nTWMN6WbfHTh48PqGk4j7lrn4wqdD+bvR8RDjlw
FIFEHTC70chut124Rf78Vn9fWRhTE9gLMcFiXv3xrYKWSsSiHHnKep7uEJ7vudPwhyWFTPLnS/2X
t8jNQd4IZ3AdKiJ/vQ+9fGy4VCFPU4Oxci6gMSwarZTbOn5LV3C0+f+hYoOVEyIC/zFtpvIuoVO/
XnQQCEgROZun3AXZXhZQGHPhx3tceX/7pL9TFn591CESortHuxGgDvztSYv9xhesJ2RFtgECO7Nw
kON4Ir8HhttcV7DriG6bOSaj/qWq4KzVQsgfphBCdGtTXFRgfyLCLMy4BRfkLwwnb/Hsgu7983fx
+x0eYKvysGrQsqVBo5/mvyy8ZeKMyYxa+oSWhgslKN1fmDiyXw4pWULQizjW//mS5u8rBGoWniod
hIQ+wvuw2EcouWXIHncyfIOz7gRxl6iyaeq++Y3JlqlpY9zvKVQwwjrql2HQOEHML9N93UrIRnXU
L/WOU1Ky72aTse2fX+B/+0w0wNPnYeC7kx/WSVG38TL4PPXvjMNUOOmrGREV2uZWiYaiFn/Xxvnt
2WO6q58GWjncotAaf/0S6qTVh/55OQ12aL+1IoWON9clt+mkYUd/fnf/7WKahyJo0LDUfLw3yZKF
kA0a4DQRJXKblllwQa9JlUMLmCrpzxf77avmnTEIs02B6YHl7MNTBxPHRLAp5hM0GwpL9PHcWTyI
VIl/vpD8gKaQvstyqQ8PDm9Ow1d//QxzK0Y4j+KAE0QDvkZQw/VrRjld9glrxNKeVarxUXZk+5d4
jIkdzJVnQRfL9TYI1eA+xrXCBAecBdB99KcviweoShgurSy6XojMyYuhPK8ziuORvLjbDlkBkro/
v5Pfvx/H5HhHwxT+x++qr6ScfYxfbXuSCwGaIzFt54LM0P0/J6jymTkm94ANToSW3m+uxS4Sshum
uEH16kKgkynvv67qYGtI2DB2Of1t/1DvXn9ZGG22NYLaefTRQznit28Jx7ZlIuS1T2492d9dVw6n
xg6Dp/eGiOu1dHXqJXc+VdMk/2alkx9vEXR0kowrFy2htn2yB/x6i9g5DHOCftOTicGkWDZ4KVzQ
AbO79Ba5rFPof3FJqLA3qCjN9jrQRMkSGlVyQBVBlKyU6Xwv3vlcS6b7NXWjiRQ4C/l5wQQC+tZt
Gfrx+289PDv4E6sxcQ4BmCY9HyE+5s4Bi/DU6NsrN9gM9nPXMPEYmhmAhXTBjzrjRGusDUmvJMmp
YKNP6iHyNn6EnujKEZqjJhiF3o10G67RwBrY4RP3tppNTBsV6p8VXWzksQIhBVEdAnQUxEanD5iv
N+rSZVh1iWtRy7ip5nqhgF6S0+gn5toecochZm/GuMlW2Aidjt63QNzzZi1oaHhmzJTmUa/M3Pw2
Nn5GU9xA2QNeVOlm6Bxl8S2GTX4mh2upjsBNaXoHDTSmw096alkv/OlSkzj0fvgcspDOS5Drc02t
eNbiEjzaD7rlJG+hiG0o3OdmCt7RIdM9U+ciBpVV5dUli+qhu2tJHy425BnzdFdmobL7ahHsF03f
mfXOFBBCMyH9S0RmSnbvKbP9NhE8udDhTZ3luwU7xL5qahRTOjSAr3kihave8dbBtBKHsjxocgzh
iDK1LwOf5kBHo6c3l2QQZnauwv4FzGCmc9UBnnX3foE5ckt6Or+xxx5pfllGPbGa0t54mKAYLgBy
Nb4uEOSWMinLLTjC5Ygm5N4Er9ZuMm6X+JZ6tWrW5uyNEL2Amx2HoWk98BsdZM8FnyrRVpIl3Fki
7iDwnxrQ542Jd7GH0ByP8WTgHe4mk0ConzhawAftsp9yalgMtgFdxqgXU/P4E9TnJ6SfYLvyXXlt
JDCbf54D6Nlz9y2RS6shdskAPKFqtOZzSCMEWd8yV9OPoFvC23ci7c8WnJP3vBgrnsxHO5XOWxLG
cbht+3ZUh5+PFbIvCKD6mRk9K/XfyneS4OjM5qM5mWA36fbSm5dQZnvtIOMuqn2XyizOHT5X2eqe
uZW2/Zc5+b/snddy5Fh2RX9lQu/ogDcRkiKUFkzaLNriC4JkseDtvbBfrwV2z0wxSTFVo1c9dMf0
kFU3gQSuOWfvtcu+2wyI3a7+bM1oZFth1p03EqHJ3s4tHWLutWSuxDaU5+llc/wZNJUK/Nvyh4KL
ImNE7co5o13aEqyhxsA2SvJuxSlBx7ymeaXMwUmjyY01g840Ngmu5XgvipoPoqnUTjYIeMS3YtLq
4bEdHINQmcyx0vSbW3pDe24NmXZjJwlxQ20TxOMr1HMe2QSBmrkfNfBwq2hkb2zw/vXEwS0s2gA4
YCPKFTwrJt0cVEWmNJx7NuYpPDyrkWVlLLK4q1CqBwFJqUumcCvZQQmiWj9mFCU3VNAml5IEAoUd
cI+BUhsVcjmjS6e2S/o/V/z/VxMfUxNTvmDf9kWf9CkuXn9tkrL0zn/iryapjfJ3Pu9xxp9Vwxw7
/9EkheNP3YCqksUqPVdH/tkjRX9MIqPuOjRKXQpCLGl/75Eaf0AlcADBq9Q4THqEv6MkPtiUmPDc
PVZtdOguW1XtsOs3evRPWdAmgnBAmKyt8Ry80C934+rPTcCvev+PQxBYxkle82hnAu072MAFfZsR
geVNIGkMlB4u0dEYPm1u6T/u+b8wyvwpfjnvNIE3DMBlJ98pHoXyWA6vwKL/b0McHG+cuDSLsmOI
dto76n6M2dI8fz3EwQnFdOn5zltDanLUQND3vL8KWJ863gaXIo7JFNwpuMTjqtzneb0FQJEf2Tl9
+GbeRnsLfaB5zzz/fjRnsCBqY/DzxxJNtCr4V5xTA8nC6lj19rOhCN91vFmuDdDjoPqhChsb36Bx
YZEb3gwJpuEw6bRzVaJ//foeHlQh3u4htVqKcXOmBeL991eFhwvqjsFQRVO0Z2kmZy9YAjJimIZF
HQ75tsT19rvPBrdSpytC/rJpscM/GBR1vaYrCJh9yovWAmcTbqIG6l1AMPiR6/tIgmQozpMOkAYO
RPbBrUwNpZqqSoE+OUZ0UrIAB5BSk7gECoyNXNbUV9WoDcBvp+i8zYbhyPjzU/HrVn9+RnXDYNrC
FsHUdPDUjKFZUVANhe/mZFPaBRfI+n379Zd4eJ6YB+Fgqc41lrey5vsvEZCnRHilN74EsrZ1+gin
WgjY+yLT1cmfqLAsOvTK6xKZ7ebroT97fqiZWGQrzHHK81T+60yCpGXQUE/B7OvTcV0ZFityoiDf
o7A7a7xDlM3kUQTrr4fl5Dw/JO/vLPZUSoS6zqKgfajZCA4OSdhRxbKUonkpHRshf6z2+trpmXUs
Yrq/GWoe7NSsDXaGUNvNIAy+gmTQtuPQ9du4apo7nVayhrJSJKtGOns0xx2tvA4gmkfq26ZEpr0y
5NChZg+C6xite7RwIFbfjOgEaBE7yamwOwf9bvWYw/dOXFess1IjHgPNvoXaC5m3p9mrFAbZeVaR
jJfWbbmwYzq9dgOkL1Iz51R1J/u7kjuFhq1gjM7VWrFPszAbl5OqiHUEvR4QPfLiRQqjboUCsD1r
0YneogfLVlEVYaN06hdbz50dGQX4NpW6WwkagFtTF2dmqsvboRjNfR+02paucrYuIdScmPkcNdlq
5gaEQY2rrNLOXTXN13i4B5pgQ/fNcGaub+rKM2dKxnU5ufpI+Vdo50FgsBQmTLth2Ub7IOn6F0/m
476bDLy9doCIwOkSxoun1x6Ny0NUYXZYASKYbu2eo+mqn7TXpmGLvrSEKX8qtYnhBWSsvAMlAzNk
AGe97zqVv2i+wZaJNXa0dAIhiUld2qNlr/IqkMh0A4Pm6ewaD6DtVUs+X7r0LOks2yxRLpLQfJVg
H/ESy/ZHMg235qS/euiCvw86qd5mq8QPHGQwLI81t6SJeJGK3nydZNlwZOzryU/oG4DtqPgSrGCS
d63K35cPfI5kcNJd7lniLp4ffZyszmmOHvK8yvsAqUujbdn0R3vak8lJWBjdymuqZtPrrrotdRqy
CxaccOlhHl67CEWT5ZRR8bZGU/cnDaB1ok/2sq4TucVElPqJlXTXaTm117IK+GVssDwYnFz2WTiW
s7M03VFyBCOqlO26o8Z+6XrcTggxRPXmTaWvdLZNFxIqZXKS6HbOrh3vKKrgGIsLG3Ptm9kG4X4M
Y/UaGUQ6LHC/Wpc6J99tBB5yq5lN8BzgtkJKrCvBhd57KOBTgDst/LgCzXoQmJdjhPOcGFwbLU1o
7lAT12e14mjfNEiJJzZpfFeBYihbUUXGlaPl4VlvWvht62lPwivM6gFJPvqJ2tZP6kZyKG9hCC9T
4G7PcuCQ7lV9KRErt8q2HCP3p5mk7k+cGnIpaMWfNnS+niNP1dZhW5vagiqdulaE9PBeefP9CNTU
XpEH9COrBXdSdEO2JqxD9aF5jj75jvoZClTzRh3SCbKbqyFiVyxt6zpFQ2/O7B9cPegei8CK9mpe
q34X65mNmWzA5oskzljklP9ftFTIXY2N/wJRe//UgDc6L9rQuxywj99kngSWIwQqWgxq1ulbVc3o
0mkTVo17xTmteBox9e5h4VErTyJ5McA3ITLHGc9F7VmnKSFuW622yEQdpX1d4bhYkYA2EfJAAsaS
ShADcERj8sp01MHNpBLkNqlBSlYmfQISZYxy0wUQtymiUO6IsjLCOtElP6zJFj76bLEGIiS2PBrW
akCXuKmo1WxlSa7mSlSxQLoUmetWNWtgp/aUYASro5uJjh7IciJcc16ayCY0zYFR4hTTjk8b3uha
Oe1Gcj6h3OnjMrOCuF4mdAYJJswT78TlsLApk8ReoSf2TizYXxu0ZuUaY4iypRMV51wA3nEImsm0
4YAg1+rYNCdKo2ZcRu2OmyAKlDUHWo6ZOi70JSp77sMAb2GhF4QFFGwCnvtaSqaxLt2T9ecCgQCb
JZkFHtHwg1uEou/jwupeHbWYNnroWqd6oRXbnkIGYEklqZ7IbteepVOIkXZmHPwUXkuwtMBZ5XHI
3r39ul7Y1jUWFBAOAwxgxFVOf9lPyXCJfF+uO0pJ45pneOLuSndlaiHS/LchY5gMbB2ESZQmAn+Q
6plUn1OUKfcQ0sSqsyJ+1WwMZR3H9niOhSKhPhDq3+YC5vfEjMo7QOj5VnptsSUKN1jHk6ayVgN8
p5jvLdWhBSFbtk+uZ8gT+hUuKMAWDIIbpOq8vKdMnk134UmV21dElrJuNC8+t9OhO9cA3XuLUSsH
1GDeqC/ciniaRjfIpVTdLt+hXRxS1E82efMgeicfZSIfWB3syQezYF9rlKMepOimfWwKvroqd2lD
V27BfmYml09Vy7Bx2qNpmMhP1Jq2w3JRKzc4bfoezwFfvWtM2llJQRscsRH98DR+O80S+zqneHIa
aKW3DW1oA3odoroGGOduOYg2J4g507vei71tUdT2tVfbytoyG2/pSllsQ3BySyL/Jh9MrVgoiTNc
9TYGdUPrvGXpCYPyBIUXAw/VEwHAmMsqHnA7MNPdxBO9dFRTrkkzLV6J32xPdKGKG0F8xh0PUnhl
R0p4KZPWw1yFmN42hUeTtSq2bmPYD5KzqFy0QGVwkBJMtRRwQLZ6oBAcIdNpPylq99oVgXKbz/aT
SUogpIRE/fU9pXIIfo6UmOD2G/1GNdFvUmRSbkJ0eFdo+MYdJKp2rVhD/L1ohbv3yg7fmtpa90Y7
mvddo5j3iVWNF6xU9iaqI2U1wqtZKZUZoewKyvOJts03jAAw+9FHrlHJDxdvd12Su70qhete6qm6
QRlTsvCJ5BSVm0aJPSoxeUxAsXgQN4NVglKoo2JdeOB18lEa66rOIds0KnbMwKFX0+pjdhngIjjR
8ghB09uzPJEfufcUkyQvSg2nkxsPF44okINlDlhrU3b1wrKK9FKtk/wEh5H94AVBt5WBapJTFLMY
Ysbl65/q6TwVJM1qtUC936PIW6rEPjEFatq3SImfm3QcLpgUxhMdrNml00wTDAkEbYtRVOOdOpBV
BJeoJ5e3HcXG0egqZR4AwDZ1kkucnMqGGnu6M9vcOk36abjSnF5ZB001kIoqWLoxksitU5eKAVAt
p8ypgwbECKLhmmFt6k489Fn9AmFmdd5LuCfLwinKG6LYAI4z4bAHKhxxqpm6JCSTmOamtTsoK9l0
PvbUR+vA7jcAp6GegOpRboSqUl2FTsSO2TTQZHVMG2ooeDXBIRBlTsJJsnI7ys911RVbqRXZndry
OOXVxLbai7VnNTTHczOvBcLYXn0ePZdktyEujYViimAXCV7MGJEEKhPkqU3qODu7B5nqyrGBZKaD
RTXGrqoXuYd4eSG7kpkOOdu0p2rNO4+QlzCSgP+4MeFQkTodRN1ZK9FcB/zqVWJoVPsJcg98oSXm
NlaN6QQYNUg5iAfzFZGFM+hLOB/RhTbFOim8cX6N74NSuZsUUG0jZcvZHuijYY3640jzCTlsUV8b
3UyfIDLkNAy6q7YaHQDUUHX6RHl1a+lsNLN4MNpMW2TYuM64jBSCMBVTYkJFs3HdpgfVG+pbxIId
qdSBJBrIalro2aqzZoeI/HICtyWj8UpHYkGmj52/OIXyIibrctCJeteHPp/3bfWJG2Fhdqb4pi+j
adm4SugzW8GAUrqlpoIvCgOOdyRoPyj0a5YyMUo8jARGw3LFXJYajVyprlROMAmZ68ypuN6iskx2
VbShmbGL86ECG1FEIYHsIYjqOIPYVRpdu4UJEj2GbWf56aBlaHBbcCqA0crryrR1slxC+sUkdESn
5NxUVwWB4g+0e4oFq3r+XShV+1J1jn2N5cUcVplbpSfY6yZQV166NbOo9Qk9xm4PYsO8Mt1mukK9
2VxXsGlQI+JDWw4Dwmp7su314EDLDJoo2mZgLTZdnVKNU7N4Fyba2C40iUW+mXLQ0IrhI3a0vGbV
l6HRVxu3HdL0VBTPbO+17/Cf3XPNa6W6bHTQgF2dYFLSy7a/Cijon8gx8rakMYuNdAF+6zmwO5KV
lWgOjuZbXA2B9WxGZj2zgqcR0LhM9oVFrm0L2/i73bC/WlDG1y9G15PfCYN0iJCJi/tgdOa84qI1
7tR5hbRp2AC/dCN/KIr2NIpd8zzKhbwvpGH52DL6XWaF3SlehvRFmgmBMTgIStjSMrjqnCr/kQtH
JaZEo28ukhIdfVA5O1Sk5lkjOYEjcFdpIHWFyVlXgPQeFWneGoWTr9PA0lJkmF10USrja9o57oNO
/2wNggoDfJhNG1ikJH53OXLKWZK/RK8SYaTENL6yx4aZLMkSP6k6TPg27ZBVxmq7GzlV4A4zpkWP
Bj0U1YScLL9RsviB4jsFLWb5BTVbFyjNyKFYq+6BrBv4tTKqF9Ai6nZlsTPelp6d35QpzhM5ZfpJ
0wRspdZhPgahgeG5cluc4aJXcp/jkq28EmLcQk1qrBOttd07ApNnOkLrbjnF9AtdiYPbzFAkLUEH
Q3HTJE+DZpS3SZ3WD1ULRmBbKTRgFnGA0n7blYRdLVJMgBymZLE3QbHQSITP9Jg2NG4XbdMnu05v
X8Pe7RFwu9rZ4LnFqcHO9qWoVBsGBH5vSNQXU9kRTiMMJdvK1MFcwVd1lnY4kBdeXckLCoHhRcJm
aEH+QCLWrmvV501oY+9sEv0b7/8PiVl40bKmeQsANeB3AgkUrRTtVapSZDDDLLobGkFi1OhogNvz
YC+wCjxTBns0Ib4/muNwPbU6ul3HhiChFL22xdTIzF4pBk7r2ffrOb1cEozWfLPUbKZxYwm0o1bd
YDLA98wT7ytuaW6jyHbw/Nsjk0vTOidR7nE2TZAuWyPcIRCPJSxzJdy44eDccNRhPcES+DjzlFZV
6N2bA0g6lWj5LX8L4RNDLa/N2PzhZG5z2VHUeg4nggO7lL4s921Mzj08yFsMAtyx0nWRwCQYhpU5
M84InHuni8ybuANqmrQxL2zjRYu+YE81RmAdLDym0oj0K84gd7N6+3KoJntXE1gIpULa64q+51Pp
0RDLCJ+jTGgkFzbidIjsMDAXOiAlfxD4SsOuL2hxCXy+ukK9OZcn0h3zfUASx5WDyXdlJ7QPoWAa
P7UQqF6Z9NW6aWOQRwAdLwtriM4yK4V5XCUeDEx8tUr7PYGBSTyD2OZMt+uugr82yUHdB0Fr+1lf
tctSpuV27IzsWjLjLkieqNae16nbJmtvkAPRtnVm+WhYjlvZN4+Erjt+Agxw2bMRxMHsKD5Up+6M
rZyz680ccyVBYex/y+JnK8nNJsCsejbqpPqO6BQPMjysKH0u8cCop1rVBvDcg2RFtYT8ulDoN61O
QtwSLJHlXZCCBs6rLGoE4UYD5nJTF5SRl27UeBfF2GQ3hLFis7VGwsNiEa4qSlg3ti5eUT0RaTKx
VWlqo9mpU/+Cjycn6U/PwZZaHJLqbsQZniYnCMK1NccJX0GJsOP9tx6c3L7LQ/bGhGKFPrvCbEW5
40Xocbsq1XHmHLO+jn3vt4P95HAEGbDSW426Zw9lUzmjTKS0rvZChGZ/apaWsbZrg0JKWtAcDjS/
85TgZ2Qb1hXKA30vBu8nyg3lLuTVuyX/uIlIJisBDnvNEKzwk5PrBzt0q9LyXOsxiGZbhuTjFlQA
vi6EfqyCUvpFgoZOi1IomTTv66+G8DACgFPxnTrJdpCjb22Pc39oc7r1HAr5Xw/3WWfCoNkyG+5Q
hh3qB9EhqJrijgxHUu4NFuItJ4AB06qjHmm3aHPl+H19lytD4I08BurbB4WWN01/FbURpvQvaGIo
cY1B+2NAI7dQRKadU1dSt7Y7qU8RpllfAgf+F6r3SLdQaZoGIVAfugeOIdFpqI1vOKG5xwlFSS+k
Tvr7N5WvcK5hozD6IIk2AUO0Zk4P5q0d0gFDWeI2J1rPTKoj399n7QisphyEDEpzQArfPy4kBxXd
iPIU3XMNDLcvH223fPz6co6NcdDdQS6j27ytja/p8pzYiK3p5vuvh/j04XhTJiLjNpGMHrYdvMTt
G102fsUCdo5+Q9/pZUG1vOvjh0ih1VIXnXoZNtRaATGpJ0BRjrV2Pr56wO4t6qi8fx7nl4PWjmlV
raGUXu2HGngUWUp72WtpDVwgqU9gyBerry/6431lPMK1AK1h/HMO372avZU7Vkbt5wVMOtMe9wTQ
Okfmk48vuEEP3dIs6jsz0Ut//4B4IW5TTJG1H8sQ/VUF4bisOlCoFDS/vpxPRuIiANuZKOQNNHEH
I4k4nsaRtFKmtoLurTiF+nBTNcnd1+N88jW9ZX9rfFfMXG+hBb/0ugEhp4aHRM2fYpUspCfFxQCU
FiRhBruvR9I/NhuNd0MdNBs5qNoAFRiq7Tyqd4UJ7aMnmGsxeNio6q6YbkeLxjT+8ACnrEmJT23q
4LvNvnUtJ2AVCS2grS44S+cQMXOqx1O6s9yk2kljIFKhj6bzIGMzCK0biQw5Ums2VyQu6TKRO6fL
hou+bCljja2dLTlrE0xmx9ORCyUw7XBuppVJcV/lBUAdfNj1y7JJMTw0mf4kInnvgbC5AHn6DSdU
/JRPrbNrMwxtTRZ8b7Dcbpx05OA0EIxg5+vYoj2j1VW61NvbHIr1UtqQI8ocOoV7PgWcLvMyrdci
RQRUxyBogiYBlBT2Jcmhne7s8F21y8EsTZ8GV7+S0tWXjJOQw6w4Z6mJliGB4rwk2wbJUNgvJycc
Viarj8fd0hU2j5NQnx0izI4sWh+7ociXyVbW4HTOAXEHbw9W1lqOdl34FMSf6kE+wcm+NA1lg1Rv
DUKn/O2VwwQJyduqsUbR/j0Yz4rGojZAjvuyjuYbe4E48qSXxZ/Uh//R7/7xuWYYNAI83QbP4qFV
wRzSCA6mV/i0S/ZVFTdUx9yXGk1xCU+NTKLW0gnlKo44JIzPx2Uq4o6qaBQPZ/kqr/Oqtwo/L8eJ
nC3SP2G7KHtauhC8OB2yP62tPFjLtKtXWUE5DCBZQ4cdsrRFP4t4e+XEUFtITNIslgEl0EUyVlvU
DezVvOTZ0jriQgeKXqkzhSuosfY27pxpFWrBNTgzgenAqhepTEyoIVMVrhM+Dz7U6pXupnaVuCC1
8BrXG2RL/P/5ZC0jIZO1ozj6XW1Yx76Kj7MmuERE8o5H050vZL5lv8xmsSqsvEi7wlfl04guYE4u
3qaa7I48WR8Xm3fjHIrxu6rLcdr0he9amboscLMv8yhafz1hfpya50Gc2SHFphLR//uLUWu9KmvI
Oz47K+BCVrEQqn5fphHdIzEeUVZ9Opir60Q2eki4DvdydlNRgM54V5QIlgVi+G1nVhtqnXQNZHzk
9n02EdisbRoxrzrCj/nD/PI1ZeNoAHaThd8kzV4Xjr2Eo35PbuGrjFEoRfaRO6l99lw4bB89k8xj
3TncjEyiyri/WeEn5NaiZ9A1sDMkRegsOKuS/F3frGq5HCrP+BaTOOyPIe27sIyLczd00w2ZG+Ot
Q/ObRmQQElH+9Tf96cdjQtQgmTizWOX9/UBVLhTIT7nf19Wr4YV3kd5dZwYnpn9hHIAotHSRaHEi
ej+OgOobYcnPfUF+xm7MSCIdFRTebXPz9UAfJTe8g3y57D/nfzkH76GBLdOCOZL7ku5oJCjm9sW+
wS2TuNplVtY3eeYdsRR+9gD/MuShNy2ZTKijlpr7Sj9sw7Z8JcSONo69a8pjzF3js+cXISI7Qdfh
2HP4+sNVNsFWOznTjD4+yqj6CejDXnYZxPgSU/5SIYd7ScRjsY7ruaumaHMNsqG85XXi3oRbeh/U
M0JMpzeHfoOOeiSba2gW5cotMmAOgXA3g9O7d67FrLkgMI3SgCKG1ZTmmT+V+k+1JxNldr2SbPKY
QEFHeFetZVS+xi62+3w04nWbj/p1RXthEeW6deRp+njHDd1DW4QgFVOz7sx36Ze3OMi7GlXVyDYn
UcRZp3nGCZu4wQ/Bb5eLITB6/3efKgxCzvwKe6hYeVPeD1iXJhiPKidIyZXgdeIyX9dhI89so5Lb
wCWqJKKdcmPGXnjk4fr4gmJsozaEG5hv/IOWsoHlpUStXfiUrseHzu61x5oe7g1AouT1ty8S0RaH
C+qX/HMoiUPrQA1pbFnVu4ZOZzdDbejuipWSFM2JLVLAqwLRzDhndHq/f+qgTMIuBswSN/nwwQa2
01JKLgpfkEayhUNwEw4h8q0EWtHXl/nxjoIIYnvsIBh2MOceLAHUdUXIq5L5rA/341j0K90luLfB
Q7X9eqSPjynVA9YZdM6oKj9sk6o5uibsWl4arQUsa9NMMZLLvrds3Bn2j68H++yyMJhRrmDtZgty
8IiGcVZBdaq5LCs3fKUaizlvnT4tvkAYal8P9tmVkbLMOZRtLkMeDFaj92LnMU8HinkTGcp9Pbk/
ksG4CXv7SEnhkxkPvBaqcy4N7+HhVjrHOUe2BuIqo8rWBv0Pr7QygIIdpqai29F6OFZc+nxE/M0s
ifNLd3haBJEJ9ZMRa63bpV71hHfpxpgjhiDXZ4uo1Y/spz/76qijYadjB8SIB0+kxebKloGT+krb
sjZ2vmmml7GtHhnmk60jzHokr5haKSYcCqU7Vx1igJCp3ym6cqM4gMKqgQPu14/GJwswL5fK3pHV
CQ/nwdlgwJwHyVhL/cZgz0L1dpkl7U+nsPdJLRHJuNPSGI+5+j+Y5zBxvk0cDqcumAmHJ5Ign6SH
nDX1PWuks5V5lNaLKp3OBw/lzVQgTBEjyBP2lybgZkIVKlrZqrOVQx2eZGhDNj1Vjmm06m9em6ar
sKo468+nfFI5rFOkrvatp/e2H0phHZnjP/1i8H/zxMGUw5b9fnVBZhRldCsBT4K/Xiejl+yUgd7F
11/Mp08ZNgm4BAS4f6gg5WbNMhKWmV9IB2pw2flqqt24jjxWhODTvq8P81V4eDdZgoAsHD4AloMP
uaoLJqKhMhCnBdHJYKvD5uur+WwGgmaCvQDbJCLuD/dM1YewVVIEgYI4EodlarBacFoie8Yb/vtF
MfbwuD5YMsDwqYeHFFfGmJoiXtExDX7M964BJZY3wf3XV/XZy0MaBw417iAXdvjyiLQA4M7Lk8WW
e5WOGm3zwPpBA7XcNKHlvvRZlZAJaR/zeH8257GvZO/M4vuxhkk7RIVq16V+GOqXslCeZmpPldxV
yXTNt7/9+jI/e+CpYnLgM6nifzjyZVyjY1ci9auQ6LDctpx9ryfK6utRDjkHeCgoqXMzSWun6vPh
sOe1+tBatNF8t+3Vu5go4I2CgWgRgELM6Lc7/W0Ca2XZlrK7rMcivbDA+28j8K7raaxsxCIJwZ41
sWFZ76KxatvkWLH6EO/454ckfXZ+M7H9Hm58GhKZLHy0rDaDSetP1k+anPOkDFfApXXv24Fmg1NF
NCYLI75L+06cBF75iPluOdmV3FVAnU5mvgR5VQo0sYjr+PpGfvKuoVNhCwq7CNPE4YKYOXyGeGC7
3RfTj2rS5EYFBlwGGZq08enrsT55ELU33wDASIwvh9sYnXx11QSr40+B9kOlf7DKLfVJjJygHa9I
1liA5JEdxicvnUYZy1YZTeUiD5bfrsmgW4cll5dYD8BElSVJ1XCZkmZaGPpY39ZNX69QWHX+71+r
BsB0bjCxQTycKQE3IiF2RenPFcLaJg2JuKc9LqNwAcrljtCIY5Cfz75JtmxU9XUQOExl71ca3pVe
CrMufQXIwnLUOpRGhSH3fU0JILepi399hZ+sOVwgeyiDhY3N4sGtBaZvRjHxkf4AuW2dmU2/UrHw
rwxU7v/KUB7UDhe8Ahr6gwWhcqBa5eDefc0riysrq4HsOdI+jfG7H5m+PntGDV6o2VY4O5gOdr8d
MtdiotDvi7y9aTn2WhYZQ4LvLw7rvdsW8rcPR0xgngoVSdOpYB++gNpA/1wXU+FPxGLiS+6/NUTc
VZT1jwz0ycSMVUilgEkjGVfm/H3+crCuph5VZ8ARkEzYewAcW3eqb448EsbH/cG7MQ6eCaKeUmCs
jIFJR1tAUCbc1hLWN721g0WQ9ZD/YGIvrL6pVsJOwtuybxwEgOgvWpfcyl5rUTgXMeoNc0DVCjQI
yPWY+bEhm91kmtFeh4oO87oLvgcUF7e5QHDJ6XZcIm0PTiLLxXylzt50rUF/T2yL9m3ycgSUhSbS
TZkLQg+6OvA4QA3hZUJk5gZBebwo0ri5jAg02WqNGE8yYNkXnRHl5x2pir4LTzwuU7HkDqebnNYP
GGnEvz6CY0AF/VSRRBFZGADSGUVozCxNQha/vr2fPZve7NRlT8T55bABm5FAJwpEyv5UEVwjJ20h
VfPeqqxTDln3Mj6KuvpsSpntGTgGHU5nh+tXRZo2mAamj7j2FMQxbVNtJpbLlREGGPzFLEz97Uuk
5TG7jQGy8aofTGKePbq51I3MT73QXEfNaM9YgImg21LcJ8ArfHRIz1+P+abXONjVor0B90ziBHv9
w51ZqIzkiMLO9O188pYE99nXZqQRSGiM1mlUZtldpecQ/EwkW286ZTci2iRvJ7mWaIm2St8jmT3y
oT62+0C10fhhtmSS/bBYhoM1VUFHsVNMAXo2sLIbVGlwWYMZawHiasGTgnzKytZe2ERk8YoU+bWp
HdlpGZ/M87MvHDkGlCAqcwczIikMoZ3LOMe3nBjUUmZxc2xk0x6BZWGd8nU5JzJBkojPQizCjFOn
puT0UYGWdVe90avgGgP1IYKQClVhUh94j4pt1PNIYZtINyh7CItuo9cRRSbV7G5t2km0RjBorhql
kLAfaodsjnYmkQAkTo1r8uyHSyqaOFGg50/3kdt6u0x1vqtzLuzX38Rn10/JDA+6M3foD9sK7M+J
45UG15+lw3WEP9cf7CG+jzUlOvKCfzYU6ku0BrjRqagfrHNUqeo6nyv2XmlEq6p2Z0vPUKU7L8rC
+68v6+17O3zq5+MiAHKOJR8Yi4ViZ22fx/RNOytwF5KGMY6Pibh0Mkm7VeFk2qlWqsGVHEib03Ul
3OtS8ZYmuRnbqlD/Fcw9RPemFOVP+e8z9eEFPmtDoIn8z39/9183JeLT/Mtf2b6WF0/5qzj8pXd/
rfjPtx+Hr+XqST69+4/1G6B+374247dXgYb/7SP89Zv/2x/+7fV/g7mf3e2/fHXzR/nrD85X8B//
toqFbOIX+bfy59+WZdbmzzH77j//6pMf//Fvf/75v1gODiwH1aM0g3CKMxjY+3+yHJw/mFYRkrIX
hrfGmfcfMAfD/QM/Ikg0KHwcrBybH/09Fs79Az4m5bKZ2EUJmR/9/VZc/fk0cRf/x6b2h4fOYwMC
9W1W7lhAs+Yr/3UTMuIa0MCSq0jay2Ue/oQ+djmMwQkW3lVB55P4oJ1Qg7UXtA8acfGJIY7MZ968
hPz63M8fwaB4YaDFYhv0Fv74yz6o5IRduW6o+mUzqheB+TB61Zno0jX5R2GqIwqXyKC9itAbuE3n
FaauLb2/Yt3r303yPiYiPSslPFcnZRGX7kZ6xI0C6K4j9jimBSa+SlZKR/yoWr2wi+GXkA8XeCrS
x0SQcsn/HMluMePxVkzlNib1Wyjr0fJ8k3CZiBgM+ww2ICTdSZUkESloi42VSgDZaBScHBB58Eww
CbmLnFQ5lpHTEFzwIk6mvSlFBQbaXcQEAFlWQry3NAS6jjNTafew/9r1UCCrJat1b3vfNQpoInSe
JsEnyBPMmjb6bhsOee0hjo/WbZmtOuJ6mjb9NijBTVL3zToV+bqT1WNLQ2UbZ+1VKJzTRCueJ+RL
MkmXnHeyrY2fdtFjlV4YRfGSDyY984TAnFHtX1DprEJ4smeF6Mn0VatlZQsGmyieG5dhTrPr7ZX5
fzbMMTYMpLOvJpf/yvBIvptOqAbwJ/6aTtDU/EFHDNLuXFammMPL9GfKpObof5BYoamzMA585y/x
GUBjWFL4dc6gFnu5uQvz12xi8SMwsPyUxhcNFMP8ndnEeL9Hmj8O6SoUgOZKJOWgw6XZdboxz7G/
vpLzWyU/s3wKDHXV08KsJRIlfDB3SQb5byNGhF1LIUbLegEtVxVnWmmVtb6pFBPMWUpWQ5mSLhzQ
pef1SecoBDVXkPI2ZoUBBmPCEMK+6oyuxg1qZO0IGZ0dPvgspEmVQ4axWsGIj+RseaUqHs5W0tGL
oWxNLSq5rSHCuLbwaCV4Y5ZZPyhusCm6BB8vxvkoIEDjly/yr7n3V6rNgV4Tuuk8b6Pw4B98ZB8k
rqWwYVTgaXqtRN952SIPnWhWiJk4EM+90PIYctDiIv9Z20083lBY8PhoetQC+IZ/3ofD7dcf6e3A
8M+5l48EzIdNFJ1dy4brfFgzcBJ9yEvRhD80YhjT88qMQ+yaZluLeBspNnHxC9KLIoIRCGV320Wa
sPtxFolalenTf7N3JstxK0m6fpW2u0cZgMC4uJucmBxFUSke8WxgkigBCEyBKTA8fX9BqrpKqTLS
et8bHdMRmQnE4OHh/g/N3C8tegkj7sgke7q3s/2apOu4W0sUzvr9gAra+ph1AUTNfbAWbXC3roXD
j1WxB4dgA/BkDON3MnWTlP3bO3GcmjXI+UhrxNzLzvJjyANzjv9Z/cOGKhR88uvcah6wXGjW+7dH
73dklmfObWB/3P1Anhlv1/Ozk05GvMKNeKZ0QcmJ3D8pPHvj2uzwWYTS+4BtuS84XQK/xKVR4fyk
H4rcr+XPt5/k9zz15UnoANGRBIkb4hd7lqc6wN9A2cvgWfdRF9z5CNEBuOwqCz3vq7QPVj/43w4y
R7ZByKKubkqp5+BHCxXUsKGA+70c265Zdu2iMJ7b6GhFs/id7yI8nU0ogctzqAAR+f4EBLg5xgAK
RbpnVFb63PsBATbMsstEjay7tGnNEON8bcSK3x7WP1YS2sfGiygwaGCC7tnlF3/Wvotl0X+f7Zhe
2kbCydEPCfQpRvftrzrDLpkpJEfAahAVGVYUORGD8G9ZkGzoREzarZ770vOr8JhjFfSZsgYxajuE
KXbwH+Z4TezqpkEKIbD3vs6K9VH2oVIILJQERKTCZVLFH1EKCIW3zdDWLaFWpV20HMfJ8/C8ePuh
/5gYiFyok9G1RdUVEJv59397ZgeapTu7dv0dy7OOp+gwN5A/Na6Z/pemqYJG7ICPNMN7AtUvAmC/
bXH6jpTvg8h+qeaeh60EJt+sOt/6tvqIu65bMP45YithpLLO3jqY3vQlPkNeEaIZUaZzs2u7rovV
Fv0hV5/yap2wusuieR2+pbUjY9zeAne59qvF699VDo/Otye1WKO+xjaB9hs553PrpxO2umPXfMui
nKv9hqxrWO/7YO5YVOtigzu5iHvVY6Egkpzd1Neex2FQB8tCsIwLL12+swCxdAkgK/MJObR6KNDa
8Rr58zUAe7Ad9QM2SGnwpU/jGPkPDXmalYrwBPy3Td0NAcdwDWGfGcmqxIRoq6e3sezcBR+Tj0mm
hvmJviwpxKbFV5excKXkEgwvKQ9aeXC91md/t4grzfcq8GT1I5hGJ3dIa5N+Rfgxif0v1AtZmt3a
SJ6R7BuU9AY5FOcLzHIF13hEtWx9XNEv1CfdtYF+6EHs8bNZLYkgGzh12BPt3AxMKYxoUAnFspXo
E7DRE2r4vIwhY2UpjqJ1UPs4R0uXn8TIOeFH8iDsq+DCR892+DggoMhhhj8HUMRt33kyXfYSkwF9
gr8V8+Mr3tJ8m5XShboTcZG3T5g5+vqYeLrNb0sPpfWLyenn+jrDbGi8GudxZi3NUWIiX65zZ7mO
dJ9xWNroyvKfNkpcdpuCHt1DBvPojkMKfH0BvNwzXrUGMhPInW0nFgPq2zXLr6fLShAroQZagJ56
PJmAiodqqVBlUQUON78+o1Utatkix6M727LkmgmyWQZIF9iEyBe+egYGLq8W0fBO6euoergMM3J+
pEZ+YJqGrLhC9mNEdwhmvflGYYVkbYtKAoZFLVDwF3y0LbNcGowR5U9R4MnV72USyOqhNkpw4UEC
0GW5KLRL2FO6jmNWTep2JXMmZpsPBCLhJOFhSAdkb68sb86X7201a8awmTFXRPeIwAjWOCpBG8jd
Go7YTFwmQa0RWU7X2uRu0plBk+6WgGyRl5DI5sy3rUh0ne4bC2EKJKlcTRTYd6vQvEzjJmb9gozw
+FsaiVboq7jX1LIQu4XBPuxGSYODu2E6hJxdndsMPNLC2/M/p1GaZ/FiWrUBtishW3CJWq7JOwEB
2ztqmqA8nqzyyORticYy4q6nYud/yUfP+EfEcDl4LOnFZoxbXTGCIxaFDCeO1GbNlaSA3lEO9BzC
Q2obtOzWpNb6hOYHf7ZOVLKBQzkQG0gdV7IMZIvZ5wsa4SZ4ZAWJmGxFZ7a0F5sPRSoCoc+N35M3
1hu8yoQ+hXnhMgpZE6p+OerZRij3VlOc5APbDtvTcruSi5lVLfIcjrwq4tWBdh2V/tzhlXKKMz+P
9c5wS0xkAkSB1ExgWwefyrASh6FA5s3esbaRKE21rdZ7H6Ueln/UG1TBPq4mgMckClMT3KH+qAsq
9vaACAAiWVLkHxq0XhPUF+RoZhj3g8V2DnTRwLNe4h1e5lCvuxbV8O1ccj2eroukp0J4TKyeuWm9
CBWKrzU1cF6mTuSSNp/iqk28+o4KVzzj8Waj+VzuCcSEm/2ANf0CjVWNTQyRmLx91psEcFB2TISk
l41cbEGYDb6vk295OGk63sI7xxIZpDxDHWvOsvSmaLIRAtIwxzgAbpdcmpASDtPSqgNUPbMubSxU
WUOJyNsivW5WVBrUAXT+iN7/6gtCJTbdjNKuKpiPGtVhyxnbO1yUcCc9yLodmaUaOQvOgmbBHTTY
xq1touDI4LNy7Rz5L32wBzXxk1xhWv5tQKWIuFTYupo/xoM0GWHmjSnhSXlAkabrIbOIDppRZC84
7tCzoHTbgRi6ZPZbau0RbmfeMSpx+0mvEREe+WrPQdpLHQiXHEd6USGnfJXAAwNDjvcdgzDAmWU5
zoGfNxaHcrcQH5Yos7wPs710+BoTonzvCBYbJjcGcF2D4XHlmhTLtqZi+V5FLbeRX/cQor4ZnKmB
jRpfFJjWIUueZnIS1uWIik5HgSUS6a6FypLsPRtPrE9JO/PyFHrQAtsbmw6eOIQHwSjhfh2yseW4
kk7jRTqaEfy1rKt8Mv+GU51g4a5YY/HkQWOZcN/DmVofEQ2xGWMRdnEHkX6Bgcz+tNKcnetFCb2D
zQQhTd25OWF318dFN1gIVjhLgMvVVHafbBzIT4AyY8ka6hAcuwpqXPcOQaNH9V1VnDHXXVpZ3m3C
kwqoxCpHgYmYux4KdE7KZw/h7e6haoKq+4p2XDl9WGOrtDeTVWKRg/zgpOCISHTd1Lb1hNePB3CQ
kb7r2iyZkd2r7Mq5ESXH6h4LMu1sW+aoI8ij4mwq3LVGoGKbzoU2KT0IevQ/vBBP+xhTe2sZnoC1
jN6noBwWL93K1sMzbQPga8EvXMW8f8I6TVII4RknWQkCrJxQiUE6f7W7Q+LixXs9Gx7rJhiK2wnf
IXXQcYiNq0+Ctp5S6WYNB18whFf9sowUzbzBdeihE+GWTQAsLN5ZjRsi00LHGCaOX6ZHuDvDrm3s
acXWqbaRZ5uQnTgkanYQOgaHhWpDlgjfuldFU3mfx74FwXxhq3BRLUhHmpQneLViuEUcrbYePJRb
1scBtUoEmLsg6D6veKKB9CyHIOzURTT7KQRjG+2JYBfPa1lcJPmAgvmKeFbVbOKiES7wt27t2+ib
U8mofs4ge+gZfYdhaX/E0hfjuB1D1YQbV/T+YCPIU7d+tBsL2y+Di6TC1+YudkKrQIUhUKS12Y8s
AkUQO1sUVka32Tn+sKzBPqCuaKV3ncvLyPtf2TeypkngPCBP1qBOT1vVHKiqEpXyP0+Lr5S3U8nU
JeiY23ZKjrJoKOcP2DRAUTh0qPCx/murk2RQnZi1OVaQrDCbG/lQc9ZygLMdMi8wEQ70iMkw0f9L
nOQg4dimpXkxOG3Xa4un3bD1s1Zz9CDUJTllhtpPXYTvQ/iByWHEjJwQQN/M3BxC6aw87eJBwokv
xrbKgy84MiEGf4FCdlgYvP1ArUGNrU+Y9PuezD4q8GhwkXv0yYInm9zN2sbLpIhlMsrNoQEBLZk4
w6vet/faqYNVHClLI9dxrIGjE1NQqLN5UfISANFb368Av18Cx3c5oyd4sKQm+A4ODJCqQ3NyRu00
86RdmoV8N2aFYbN+0p6P4eu2QWWYD8MaLmEv9X7T8fx9LE2cRH2/5Edc6cQ8UZ2oHudiBPJNvhon
WM89usPYBd+gKdfNIXBlWN+kjdQci4NSJpeqVWhSlgzBScZoaOpgcH6OVr8U8W4qHeDQpidM3WCD
LBZKNRjddT7DTwxfTIr0Uu4J+sqcUr9OMM9pGMeisU3FIojBKNQbRyQWA6lST8ZIL+QVl45yROJs
IsxI8wRjj3QN2K9fI7G2bKHNqMRKRhrW8FzoHw1B5e0KB10hxHas0izF3CYPePArNGS+4GpI7el1
GjkwHeeR6984nPDzm3ljIWuHORp7HTrdnbHYnLJ7VKbsJH7SRejL4pipIK3QZCcd1afVIOCzDe4K
pvjUIZSWZ5cAFExSYQ8yJwWf3MVc5NGSZ7FU1OuceZtPNkiWHVqhZCmpm5hsXjeIpPpHW6W9ju7X
IXOb/CaA7c/zLKtn9oEQnc2r6oIkE3SKZ7YIjlGm4FXLlh9AJ94kak7J1ThvHbPARDLmrXvRuiHS
Trv09XTNtE45NEeE7NlQQiiywEB0Jt8cMHlAAqqUkszaZgTkz2TF42ExwH3z02QlaAZNZRRyXDoZ
z+WiYBKa1LAIRuQwdo5Q5mlft0cx+MwLPUecSy66nsBX3YgZKZ6/NVpJOZqyTlhA2kLR0SzTfCEn
kAev88zaLWs3rm+ryUn1sEtL1B7GKz6gEiS1U7Mwt6OFkEq/r9eOV7AVvlUUK4AOyl2sG658aRjn
3VeNIIioNn0xqoHgskyeuPEmZ0A1KfFd1lllu+YSKJXPjc12ZjMhvReTXnLxZJ6HxV+XazG53J8C
9NFmfTG7oKG/6gwoD1nXa+bTp7Ym1+ibqONtc0wkSAx+3YixVIpJDGYkPbl91Wkr+FvKnaVDIgga
/XfEn9oVHxlt21uBzizXEZ11aW8do0CJ8URnRYzW1pocxt/KYnPpBsBgsrAOBWv2HW6pJpFPFUJS
pwRyGbM2YItOuj5HFiCHvNN+TY4S+836yKibiLs6LVfGyzaE39+b+wPLKfD5ekp7yWpCpSImB0cV
osqd7etwZukfnYiG3ncQOORRr1uv1qVJrUoL4RH6821T9kDstO7NwqgnUz+yErGYJQm/dqo/2N48
1y0DAsM5I+Kjk2Ro/aHZ4tyWU3UbBIVH8rpMMsUYu57Hj8Ecrv0l2lJOeYx6lzsFB5vlkR+IedCE
zqAsGj4m9oaOWCXb2mSieNESxbfT660RmjSqppctMt8EKRL+Mdj2VK6w6MV5wdwCXy8WZbKah0a8
clrSLbtswWV1iFZuvJ6OJAudS5LN6gfiXTOluTOaRx+RDEAbF+BCMgx7C/Pu4jZUFEf4QSCo6z1+
uCZgDUyjhQJvATu/RjYqB/FxqDNRF19FM5sb+vIaOeIZqnOyqZzCrMq3a2v/oWYE3gbYGw2dEDD0
WT0wmhsIQiixfJuTwdwzdWaV4JksXF7LeNOPHe/7zleelzspU0VcTw1K1oFKcw61W1RdR/YQDN/8
YDLdm9elUeLMxdH19tv9+VWAaMhxjbgCxfNzZ0AXedlVU534lnuJiU8NeH1s5pBew4x79/Z3vVQD
/71aCOqTMrXAgRAI4Z9dqd52+nIqC/FtFhX2w9cjLDlWoj94Gdsw6yrgMfs1aAgaY+35PUUUXbYo
JKjB5d5NFcJ0NoB8mApP/xqZf/U+jFOsSZFClG/ymxBVc/729uP/MVQGKUtiizgZ13H3nCk2d0k1
pFOIjXnuzDwHB5S5FnK4coV6+6v+WHOCwjB6+wGdoP+g9EIahX81CdTXOIvEuBzR+pXTo7OGZosE
CXz395bceQsFQ1EnDMBa8p3g2c5F/ru2F1FK/f4rOpomRg0zm+1+zInsDynIQrZyEpPvk0ws/P1H
ictk94FoV/nvMDbOh5muKRoCFGlpkwJ3O1+RU42++RSn4m9qElwdlwwq1PeoxgvjPSTZ+Si7SEbw
tkDQ+TaKY2dV84LEEAivdP4e6yYsbgdVmqt5LrmpHXXmmqzx7Wn9HaZI0wR+A2Vnmry+IZifr6BB
IlEYIVv7d4d0KiuoE4kJcwTFhXlNuracUVzPU5T+tmHhZ5yMbz/AC07q33cgqRaIFahlYQiM6g++
HLfErHQUPhsowS+IKtLLWos9VY8slhevaYvuMpMaYzlh4vevorjlA6oU+yoYas6F6XVwKumbEg+l
/4Vd3Hix4LYAtqHmSEAvo4n6XSQGCyG63CkGonU4+eaw1MuIleUuS2w2PmBzeuhyN4QjxSNn6mYE
93RBiQ7x8SJ3h8uc1nKEJVZhmdyq171Ju6zODY2udt6a4zxQOblN2AtzxCvVKR4rfC3Q96T2RM2i
cE3SJKPhJeNzoRuobSIrlIQ3uGdMjH8EkZbKpKtn3CevIRRQln17+P9YcKFnRJV8sEYuAN3zpT1y
s8gse12emqwV5KypGswVKF4HkwH8Klm//ZWmM/bbhBNqERigRxOBBQjPeZ80ypah7aPpKU4DU2Mc
IU7jWAZ/s7Du7N7mCQDzxCOXqNlJTFJolWg9vtcoOn9zgFVGlghqHK/9J4O7RoVkYi6zp6Kh/HmV
V91QfXaLye1u3H54h7lxHkEwDvFDQaUoABFvPD1+74bBqUzzTPX937qFyfPoy9AsCynB1NXvnAnu
2Zbm0w3+M7IDXB+4lNpn2UE6zXZZ1tr9XPcD6pH4GaCtdkgpo3LTzeXE6YC6+1rxn5CCDetyRgrr
kcua30UbRVmXEgxXHtO/VxPS4dQRQHOTYUPJgJgREgS+Z43MTFlrtkwZIBqChk2oo8CUiYuK7shJ
W47g5azC5yxKMcY0YUVXJl5zISjm9tKyiKPloW4QyL19e42djTdjgPwH3Eqgkiiy/NEx9f10iKtg
nD9jw2dOZnRYzJZDYIab89tfJc7Ws5lTghfsJphixpLpLGZPjaKm6njJKfKal+8afUqnBbKr5mgi
1BOCXnvvJSAdRqGea1Ml/fW3TqO5mnNBsBlc3wtNPZO7oCLSuVUPDv/SKuRorTc9WzWgg4Ve03Sx
iJEL0x7jcq7H+UpQ04dfjT+6RaaJZKGCxN5ZI3vl33RTmQlffcm3oDZLOhy+Xsg1NmIUZiw/MzMp
nRf95FAT+JsdWEdTWP7VQmNHsnYlPQ/OvSShyoFkqlNhS/vOeRv9Pn3GigYgE3RmG1o4FBT7bAm3
vAEsWZV8L7UIv8iu9t2DS3v0GBSR8qjxZ8Mh9eb4eonyMtkpLwGN6Bblo8aPAR1hqB80TVOxia0F
xmmQDe1n9M1Ef1/Ovc62WaTdYx7LjxWttu9aeQDxgs7Kli29nOADGNvmOrPz/pYTKcPAscrQLbZ6
Kf5a6SPrqwRNU3+jSmRUdlQNi0drtZBsHco5m7Z93N17nErFwcM09DZcOr0b1NLu6YmXjxk9/Kuy
dOkSSDVQzmtwb5TbwSn/BjXhX0N0QMx9XFsbL1vVhSeX8/mryhrHR+cpyChhpH1/4cq6Pk2hGB9z
ITJwULaFwLFF3e6pGOP+GfOX7hNK6T1pUTIiejLKA22CRW1r+kXzdkbM3dqgqqevyrrZY3ShKdhk
Uv41RmAuN1GCoC8Kmc1plSMlMQ8ANdU+y9tCr//oDYv9zV2G/m8nXL3P2eiP22wOqusi7PM9YMn8
HWbu78GaBUFbmWAGH8ZFvOUPh+2G8k/Y+mn9zHzN97Gb1MU+KJtBMm128PntHf37hn79MpQCAGRB
3PiT+pasHqldF9fPgR1WYIRm++TU1Fc3sANvtSdG7n9pU32kRRgW7+Rjf6z8l9cEq0PLhiB+DpsY
jYFD4XXVc1vXXFyBb2MeiRvqu0beL5/0r2P45S09JDvI+8AXi/j8EomVfOFqsDLPeLuzZ4TLcbHB
AMnJd9Cgw4caZ4qHvE+gMtpIRKud0CovL3SOpcxcDsC+AOsFH7qgi69qqw0/c9725Engsx+riuTF
HWo4Au7geB9tLeuf1SiiG9C44UftLu5fseSeunEaB0BpWqQfRAVXfGMhVUr1pqAX50wxhbUuXp5l
kw60Esbu4KSQEO15EFv8icU7udAZCI8hMWkAaRDjIjijzyk0jhX2sxct6zOsKAY/y0V2IXDhPiLS
+rV24vJJWPG8GzH1xQG3s4KjVyPKtHt7+fkmuv02M6EBaxo8CN5/HONnB4pTJBXtA8SMEawtC8pp
HSrZaCnFCESX67DTXjUfwwp/l01uqYpuT1MdEVyOb7UK9ICdJEDt1Um9o1gxx/Nxs/u7yqmno3dn
3aLiEN4sYrmoRSVO1EDLD43FpG0CGmMIRA4zbRcYPAlk1zh8IG3UzWHy8p9LIPM7Ear8oqBSfMzT
Rn2o/KEcdk3SY7CJSPlniEnFR6vGqnsTzI5R0h+mEa3bPD0ZLQC5zVqbF8hmJ97oAfFs+tetpBHC
mfjJ863oJs/wVHCoaidgq1E8fyc7MmN3Prb4Z3PdD7jNAgX/PREbKQkz72Hy3Oaef2cUjB9VLpZl
V7RGo2/iLvHONzq/A19ZVSHXLFC34JGQwgSu9vtXIqdRdhVH5w+ppHdF2cyqNsm4WNcUKuWBRsRA
pPfT7lkJu3zMUSu8wVPF/mjpWBzeXlov7KjfX59Uk/AJWT8EiXsOBuymyu8jBJd/pJCcS+7tTfJ3
060IXbfV4m9a2zXqGhWU4s3gUyvcySzwjxlw2B11kjje0vDEsqJrgvBLPpSGvb1QQq+tPrstAgzr
WoG3RTBm6WXqIwm7aeCOTUg+OC5YeWVXcJIM0ztC0UhdWAzLQRaDdYuZJH4jlDKsm6DPlnu8gTnO
pJ+rA5KOQ4umUl7cVLR5yShFhSQ8Cis1kJIJxy1N0/MRRuGyJxfpPw0IXyC1XYoO4ilwGVYi7aJt
QNXvHj8GNKRDEHUzHU36SkNQlily5aG6nVTc95smVwG42shtnEvAKRMMxCB1/xq6Jv8y1tOA/4+b
U+pBhfa9wtef8YeVEgOaA7oG/fmPup5w6YSiwV78MGKG4SbGfeobKI+FriFTxp0qfF77MbkMauvb
gidrDXpUq/ecxf/TgsWJj7RZgFw1RLLfFyxIqR6mZlj+QKtzGXcvE4LGcFbe5GUA53zV8anFDfGw
YFu8V3EyP2VRpxXrZHVOb6/YswLdy+5Bi5faMqEDrOU5Ynetxkk3aFf+SEM7+NQGTv/glpa1Cyns
oiFfjXdj2UK+9+rqspyFczvg70GJvRww+g2zCEAynsk3uTWKnyDnWxxNkK3/9M5T/pEyGI0+4bPF
jarHH9doXSVLFbfe+IOqd5t+JrPw+y2VxGUz9ra+cxGtoKfUr0G0izq/+ZnhL1Vs1sRV04XAHfzR
j8v0BkJx8dntvJEOCafAAW28kuFOZbj1Wtq9r5Hp/3gWp0XBxfr6DCHun4SsfydhmUIHl+b/8YP9
g8V192P6r6sfXf9j+Q+/9k/yloC8BcIImRiufxSRSVlf2RZW6P8D8RuCAweJLV5oXXWDjcT//38e
lIoAjkFE2c2IOJhi2L+4W1xZ4QnzL/YLZPZ/xbb4Q6COAgsCtFhOonFJIeAcgO6yQSsx+t0x1lYu
tnUnhj2wp664zhLtX8/o6upPqY//TGPn2Xip83r4mCkaczB/HLyDuk7DC82MtRPeYJQMcCbcuGrG
zDBNvPwjMnb2RVigspvGLR57szXdpRDGxM4B2nSa3dr/Akrva+ks+AGU1Qkit/8Jff71I8jpU2P8
t0rAj5wRQQm2i45iv8HhYr2lq4PSZYRQ4ENPtx+Y2mB/iQtHBhsMzt2Hup6Kq77Tw74xHliB4hcn
YzcFM3q+q+am3zmW4zwkK/J4VW/FP+k5NfaGBhsGF7pau8sUoAFuYHOhvgrtDPt1Qkht9VCweRko
Wj2gAyEvM/9cza2e354Qabj0i26NLmhcoAwicapaodBvuYXxi71PxW7n1uDrQdHEVfyXlgAbtnUZ
2QjwD+ttoHDD4t6xHit7NnLsfXepLbRyVidCBLDGFvTQ50MMHb0R4yYb4s43vHxsLCbcfpDKjEZj
YZ9aT+Mo/E/RIKtqE4zCuUG9IrYvJt/BUa0oQ3qQKZDaroq4SxazzaeVVTZ/iFRp/Vxh825ngboz
1Jns2Sr7+U4hRHfx8ny9eSpWNupykj8v3XJgMmrsCLfUQGocsjou1+O4YC4WKThgVM/2L+Zs9aph
VodD7t6kVHgoVYwDsNIbPNwzcHOlU6zHAPqkOGR+WOQXYjX+OzKBmlfD6IFa0lwCLhrcDT4L42HI
U/eLskDFHxy1RPYFSwWz5KFiLWCPc0WzusdcygVL2fc+t04kqT411Vo+duhMf8pUt3xpVdbfAImJ
T5Ke6CETbheQ6bSgIzCluk5aL/tLIhmOIR21MUsx2YA+8Reh/01breElJbXkvb+6sKB9yFKbwm+H
aRPEQ7BBEGZ9WutpuYg8LMm41IufU4CNDnXzCpCPI9YZvKOLYwnIQHvIMP1q+CzsFxSQrsCdXAi6
mhne6K4J5X5Ii/4BlP5yCwSh2IqmyDG4sJPbKqjyeatpslxQJXYOXZmJRxq3aPZEs9XQws/icjdD
/I7QurXJgRrvC6n5eAPs5i88/Ba5XXSLjwrQNmvd66K8rVI8Ore9EyCCBzR7SxILVgNHh6s0iTx3
kyPy8GFdy+Yejkj1sbdEgDTXUt37uedcjWkdbxy3TfcVxcjjCh5rTzFuvUI/q8ARyp3Edip98XlG
72UDdh4zWMoXbFRArhuvL9gYLjjObTglxaEe9LwHYguayk7kuh2n3rqgvNTfjiKWH2bQtNe1Nfn3
A5igvc40REWbavq4SSHvSPwFYw8jsRY7C6qf4Re9Wvlt4jjp96WTEnpucwmILditKi52NRheVI6d
BhXdRYqg3tr8zte1jdn0luzm+sjtvv3UxgCU95N2YFZiVJJTykSffPYXe7/KNkNwQiFzYavm0Qr8
5cJtQ9vdi8XCb7Mj1bX29bI6yiDsPeDqNUCQsfaBABIonM1YTvZOB8FyPcHg/pjNa/9XzPuLSy9Z
Z3mJxqUxxVnT7mpMuCDBVhrXDT4vBdauNbI4G7sFH7ZmYeNwe1Ldtivd7BSEqb1SH0Oew+0qea1h
eC5b3XGrsSkH5huB3NO2i/V8kdlpvUWY8Guz2u0eTpl72SRteNcso3UqipLgP2L+ewDmIwVfge/J
Flhxd99FRXEV1prS1UQwJ7chKvXBmDy9RBbKnsnPeK6Kq7IxToLO6tivu0gFBK0ZUOIj95AIxx+b
sKrdhsw/XDhhuFXUFwALuktVoybIdpjcB4f+zK4Zsm7e1S4VuC3goBVc4IQrWjZZcX3Hab/c9R3O
kLumQeahH+v1toOd8lqD+r906d10iTbMm+mSSW7+a/u1a8q8/o2fyiXC/Oo/Uyb/H1RVaEtAZAph
p5tK+a+UKfL+YeiPCLI4HmUvlBH/xXcP/sHhgyoThCvyZkNq/5+cSfyDH0XRCHVscu/YF/+bnAmV
lN+KAzBwqPzANKclRUsUgUbx+8UnpClRweuSOIqhS7+hXpuFO1yMWqRJdYc/+KAVlk2RHWbBZeIC
ar8kiMWgx7mW1VtUCUF4EvSrYg9jNW2PVtnQPtxgDFjZULRFT8rqRzdLkiH52AzOHRKa3uXgjQ46
5a5sn0r2CKmYw/17kiCrsF0nZUHpJLqJs6R5qvtIPSl7BX6kgQFh41U70Q1QVu9r3WnnjrzDQo+n
ToNgMzZupC5c+HAdnHLL/IpIqmpbyByzn3aIH8kc+OKJWJVvQHjPDwiZxI8VWIIH/LTEZVJU1B2F
mkNcfty6aK4anCmjK6ij/XPPLfZU1lWRbpwMBKBTpyUAUvyz7hcuYuOWOjSvoWKvCzaum3ZHwNHO
idzX/xq6iP40lJ2OQmfi8zpFuMyKpjv2wgaMGlS9A8CObjdk/TR5lFzSc7A8uepBS0nK3wqDgmfZ
oVm0qb3GPeWoWT+JpKWQOYuOH8N1nSYWzkhfl5TfwwmCB/CdiacFBDff2yJ1T/jENdV2FAE1/iCe
eWuv4DujQqinUuKNDnDZX7Ewm2xxF3h5dV3T/boThSVvIp04mw6q063EuvAS+HlxWechv4OxO+MJ
91PibjFXVrBjXfN/Xie0BEvb7dI8iR/d0cwwrWfoUvba91+CpVnmm0kli7ObC1dWO7svi/yjVbm8
QrNIPkUB9sHvssdiYuuXI+OC1yLPCAIflZ9p8Swfa/kwRbt3qCAqqaLK7L84eT1xgHNNsqCn9WdG
eR8BKxg5jyBxH4a19w8LIvbetkzy5JF0R34MtUe+A6AfdKdTuaca8asnGhxm1VYs9GLGAvuwKIq3
5ibLnyFGwjlPwiIabDHfZ8HE38NBsxpAfTGzsRhCsSfZEijlgRO/LYH3tqBHexaf5UIPSbTL1gsn
NTzTJZrSPcwF5y4D5zftwnhmghtFfWsTxXBX4RyrermqJcysbRFzZu01SzQgM6njm0bFpCahTMSl
JbUrtsskeO58HXMsNIpkfhCcgcmmnipWTOKM/fOM4VoKLtFi7rRZJ0s8q6fRTBEtNnFZ+aN6ipye
DxtaGygu6fw+9GpIZFrHe+U56qlTMnl8WcK5FTK+Rd9cN2azS7NIEyw8HyYxMiQvNtYz6l731eo2
114m6RnRFYgfAUwwcAM0DrFVZcSCGUO7uS5rAGevW4IUEkBETicd77aRybYJHLmTt09r2HXH1ocs
sAvGwDl5U5M8WtLW1kb1MiPjbtMKA7eQzRk0S7xf3QgX0Myf9GbKK14HKgykGgB31AMXfgodThaY
JdjkPdDaFD9Wzzlp+KcXi70SQWCfiMswa+Ib+qvxzdoGTCESV3xCoxxp4IVRF4H56zNxL1udhjt0
MhbiKXLnO7tU4THwOwxwSxnf+O1s7cSUWR0W1AXvKxAFnA5rv4wArdgUCUZzXEfg5hGxKreZsoel
n9VtikPwPl+wNBULe9mIUl1GdWHF+wpobb7xwBhfFgXphBwIGbDrnNMAN4URrLz5QbHQ842bFe1T
YSftMXZ68IsAek+hYM0HRTklBzpk3fqpj0HKHeeREClWXnguClYUHm9MVOlazimx11VBPwZ8uRd1
VWZXMCrzCwlT8mL0QBJu9cQsQczFjxLn4m6P+wFrisSbBb4EK9Pa9aX/1UZGP9/OteOc2hH1YwkK
llp1V1EHreyG9eL0Q7xvalYpLTx2RBW0zl3exM6pAnsIPatSabLXsVk5oQOa+MoDXd9u3TTpn9MC
je8881ndoCROdHDixy73HXntoR92hLxkt4eXNQ+KhF+yB95567Zm/Y+UxO7+m73z2pLbOrvtE4ED
YSPdIlTqXJ3YvMFoNknknDbw9GeiJP+iKFs6vveFZQ17kF1dhdr7C2vNNaaT+4J2yub3VLdjb5q1
dniYsOjIHQtUzreuR5tJv7I9j+7SO37TOu6LYqx8kL8daVmvpWXQ2DOPEnSjboQw07eK104CgElD
L88+lW8XkTluRm/A24sqYXf5xpWTI142gRY5yK3ZJbvLyVrXCTklc+K0L1oK0eSFfNclfzXnTS1Z
iO2U0gjC2otkMN8RUrphhongQUvGTXPDljGR7rFr0OwwLWTo5+FY4QR2i1W7nVeTg6ygfhh9hxZY
8/B6VVpyx9Ia+1xtGuWMM3KkhPDiuqI8t+rVvSpZryUeCiFJOGqfusXDmhXfMzWlW/eLQYlfuErx
GQz0SidBvjvV/ig5a/lOdkHCEVMjX9DNzDfazvpWV+VLHWvdienrqM5YqObNxWZ0T4j3jrW7XUS9
VRVPKTkWV9wxzr3G7jTiuzsZu66lnSHhdbg1VaO+gqkU+5MTJ88pW9bCW6roSzvooaLX7XXPkt7v
CABU7YzvANsBrVTmwzAsR1yEzZWduV0Z3auJqH3XJZK1HXcNkoidwvDkHo26R2YTxnhBJ7pYBTQe
Us5LKzpqWl1yqmZ8w+G8BSsxNHrQqA0jDhJzK9RSdHue1YrMb2q9PGhaC6cnFY3jKyI3dnmlk/Jp
p+sOE918MjN0vL5iz8uEdLhJFsbTwAAOuFe3PJ5+ZJek24l7NRhivXPk5h/KkADYqSTMSyoNjdWs
PQsCb24U1aru0jV3TrYe8fRqYhMRODVW0azZWEFS97LcHq86Oak3thGryMtICH8v8Fw/L3b5LDK7
La6LthcPbQ5MWhn62fHF2rk7BzDJj37pXCzf9LH97JJzz0MWtqadMh5eut2iZO5BndopWORQhqXT
yMRH/ZZ7o9FnN06XZMsN75f1LRucakf+X8Q9TnxXnM7PxPZgL0ztjujB+csUSd9MM/trzHbvnJjY
LLUCmIqRE32lI/l56FXeVsutrNCUpfzIRv2JBPfI0+a+v3HSZH0osX0TJT+Wu3pRxD5yJ/uaWYkI
47Z/anGwZh7KBBuhSNnWNwOYhyDPS+qTOWnCmLrhhKtYO+l4SQ8miZBYCEdxXRur6vOmVYwjWhpD
i2mQbFsnVNwVGCQnFtvhMr8XbRYQcnFSwIPccQkslHxTtSPayzoWOBIf4trwjcqoDroCMNLZbghj
aaZAxu54MHM+sJ4t1VsfyTbIms69WTPzgYRrHY9RpZ5z5mrXNVEozwALlGvAdkXrKQ6oX2+mdv06
TGwug0jX19OA9H2fpUP9OaN8p7wbyynl+dbzJ72LnION7/BWtbCtcvPaQe6I3Wibyy4jnvc440d7
V/Lys1S2EYlmFyWdedfvFJvHxlvsWd0AeeOeVOTEN5289Tn842DFwLaPIK8dp8r81iSwFvVBm32t
UfEXgSg4LqgE36NObdogqnv5mYo4pLruqARTtQqWXM3DoRXW02Z9vOXk77COs1HzmKbaB7WXxr5M
CtAC+oKpCXPQfJ2MCnZFDAyZO3KQOB3v3WCq52nOC8KFzaJbqMVbRhXnNNLYRKPKF8UBnf8Uf+Pw
j3dJpreoj7QmiJSpYsdPBmXnETMd7ckzUziYQHcf8KnNL0re6w7XHg5bxk4a+8VmoANJ2tC2uvoG
QHQapMYwvzSQH4+rtRBQBjB0t4ITZDZDuK2b2enO0gv1Gd+EwyNOnphQTqm5FX4cpGSifqCnj6/j
trxlfNS/YsUYr8rOubHyqve5vKLHctSZLc691XkI+aPhlLftkr72VjOqxzJn5ndSWm3VxwOnlruD
JD22c5hpCpVTTOMW3UWDO1PNTgSxSQyuzlvUFhzqUUa87cLxDYklYtCNC31vZ1lNFpZeCEX14l5R
Zwbrpjoab05ScuvqY7ZYvpPiXt0xIzPLq1bFR7TDfbVqgWqWg8PTo7tdaI7UoEkHqZhKtqcQsTaN
CvF9TbGcVG2V50WfNXIGXEJl0HzdJyR0N/+w5f7zAuzSOoMKclDnkM9CG/3LznBMoiJthjQ7RLVb
dAGSBEO+rmId+89iWdd2J8g+7oK6MgvGq+g70v1PI4f733bYfyIo6X9t3pFGbz08lGNexS+b/TmB
oERCYHwwpevEXlRtS+vR1SJyhllPxxSbUbNPjTSJr4aG0OIQjFkEAGHQnjCTabeYsKgq//5V/Zu3
hUUQi0HK9n8Tt1QZY8SYURBEr1D6tZLbPyS1hpp0ojn2mZVT+YzlSnEEha55+/uf/svy9PKp8ONZ
5DoWJfhfFsrVYufkma68J0tBK5RpoHi4cVqnxKxVJoupbIQLx3jK7Ug5alv5TXaJYG4o2ka/E9bC
sI2U3yFODqg1oFa0OJd/9JFJD4N+5J80uX9FDmrIwPkPeHNVRf6/fcg/UWMmF7O0gZn6UEUTCxos
W6BbEivHF96ZLsnSVVNWoYW35r0U+XJuB2YVbUIvn9YS33PV/oMe6y+8WVTx1EDCIFMOAS/X8J9f
kYJTcx2pG9i+sHzC8WPJ88BI6gV8E3Wgo2ztLw6z/htMf+PYTPQX1Vx3xV7ruJL9vm+2Hox39u8/
W2MbRv0h5dg+WwZo6Fwty2GEbl4++5/eKhuMQlfi2j7gbKRCjRnGFiOagbmzJVWR0VePTVI44rig
eWWeYNR9fpqEPp1HMbm9l2BpeFFVxuKeuNTF2kAbq+B5D4k3o3xP456aO6q3Gn6b9VSuyjdbKSOm
JbndyfFmYTD47bemNC1neR7XbQpQLY08J1EaEweRrfJ+q+Peob7wbK09s2PPtAkE+YfP6RfV8+Xt
IOCHqFTmBoKUt18OoERT2hSHsrI3EpMzUK/XKjk5SMx4ZiSvnoPfvV50Z1IeK31leCLLhJe1pOP6
KF2Ldys2NLoTc0UQnRWCf+XN4p8SvXocXsZDht5sH3aXMaUZ5zFOD3XMBMwHwzLFYQwf4bAuJT8d
FRTDGytfJp4QGoJvl8/+f5Pof5pEc7sglvvPi/s7IPZ/Wtn/9gd+nz876ieTC0JV2cuDfzM3ROEf
82cyxyHyc3f8wltlZ89EWOcQ3dxI1jZk/r/5s/OJabHKI2fo1HMaxMVf+Kp/y1v9dfxsb6FDOI3w
o7FBZgr+56MmmpV4SirTPMJgaSLoSmt+ToomOgGag2O4mKyI2I/vmo6eRyMy8AQBpnlze1U+mxWD
YfA1/atqVP1rLNlF/fRO/psL9terjFe35QhtVijG+tavB6HLOjBCkimOGXbldzMR8r5Vk+q6MiXn
YpsWy95t1MknEpmd/t//bO7vX047IJSbJpYjD/kahr9fvt5RojMaxxN9jOLoM+QW5g8zxpGb3GVr
FFg4gK/hBFXYohfLvpLCTZ815sNf5EpUhj32tFLNugC8K8izxPFc7AfwRnnYtbVFTLTTLKTh2uYx
msvhWmuMZifURnhrN0ZeJkuQCmLqy7tEX5Cr2tqk+apDdYgqwLaDcVzLxYOKrbSwrizJuWfpbzHD
Jw+cDBSp3qmv7F6sMBGK8cwusKKTEhVDtcEgWzJuXTfx3Qh9pJEK9VXpOmKLc/tplGtX0DXChsE0
3FS3sDfiUEm2irPDLnzAqR/5ubIaXkbnAITWnqfWI/Mw8ZukSpAgyeVzlTmlSSK8q12bcxYFVrcM
rzhIkU2kKntIT9US+DZ8ANTjRr7s5gS+hHRZrStCn3uPsI6WNCYlIxMjTbUgi1v1rahVi3oOz13g
MC4J5xGZ524yJNjYlK/SWZLHx9IXC27hrUxanrSxxok82PN4hG5cxCz0quEsWTQncNnmPoLOpak7
xlYgrqtoYAzvmRbzn1DEq3FVyY5BRxynCAqJyhw9RnGCjzVTxMGcdF3xCkHpPpvmZztbnDAxreo+
rzq5Y4OjU9ObXFyiG7IK/qfE6Z9l3a4b2CpDL1H2jEHjby04gl2upjtM31PAN9U9otQrz6u+TAhR
6jE7rZmTBY452O+JPTSHtVTX0C2a4bCkHUzcgRIUT3emU70zwJKQ1tqq36PV0OBLOPLkQrN6MbKt
i5iTuUGtaybfxaxOd2ihpemllV1+56bLaw9/GAnPJtRPz9VYY3jLBBPIs+wOYwffvcckVjLjdsxT
LCcoKUprftQ6pAKN10KDmcAKRShQMhlVmuc0Q/6tyriY4Yd32V5X6/kb49BSw9uWlCxhG1gz6k3f
ul36PqUkGBzcijvwru+76LSOq3EsVCObPgNUj7lLseC/o2YdRj9yR9nxrWiV4aOKxqwIOhgYiW8h
Q0hDOBWVEtaRs9xMMKUXv1ftQQvHiZL4EZ/vsoAWafXRV6JqmwlWXRkHHRLS5gsLAJLjc6VCgsLS
oNpylXP1gKwm4SoYqusO2FwTtAyx3tFwGset5uJRl2p9ZO6enzWbQzOWzOc8wEzVXbaO9q0+1q3r
K7rLT+u2321JUCZhm9dmZjB9tNVGon8laioTXpdOvHoiENdDW6PaSeu5YZRg1m/zpFNGuebEqCGZ
+SKHCBKA3YyqHL8SWjOqN8TKmOqtGzHv9xvwLu8MdV0zYK7IXn07yl1+cyY7zFxCrJicozkYoluZ
6utL0RtKWvuEfK8kbshIJ/g74CbQlndzHGn2T86UqvxXHsPO5jlaUHxnXq2t8/S5imWR9silzOp9
XIaSR6db+yukvtZt22u8YnrUWtkBHEszTygga1pHL+7YAU2StUCK26HXMsmYhBwqUdd8sdLIKe46
Al1Kn/1ibQYOE9ijrO1BZ5OE7fa6VLotT51XwLNbNmxHNc2ZbkXbyYxGw4zGoOo7+wvzgBl5Udrl
rl/AcNOC2rEWlVi/xQH81drzW60p9W1iLW4ZoMipQfup4hgzoAlzwKlfe214RsxlHSemXeYmipkf
CHQ3ikDJRTTtHUa/wtOctGQYWBN1Lsws2mnIW24SY4qY7yhLdZ0UM/NSxqwWq6vR/DCnyqJoNbRk
V895mOm1svqFZsprUWT1VZRMyTUIl673BizgRzg3jYkltNOuDPBKR5Tlq+3xAKGf4J6BwGa44Abc
tkAL1JY2PmkQJs62mNWRngx2hQh/NhZOv8nKuoBzPPbN2BQ7GXHg96XRv/6vcPz/wfajLNgEkP+5
cLxCAzR+5H/Se/7+h/5VPG5lINZ30pooQvQ/1J6O+4l7QBDXZrv4lwHI/CFdcD8xCkEOrKpUTJud
7Y/S0fqEwcNFt6AJ2rftT/03peNWGv7cDOJbQTLuoDo1kMrrvzpX6F4TDKVRfCIsdkhgw2j2A/yV
dWewG9mnre2eJvVrRjDysWmFQP5UO+6ZM2Ago6Wc9kartXt14Dz5h76MfedfXhq/nIl+m6k9utZf
J0OyNxczxwp8tCezqe9cN1fvHDJYeQ1KZIJXG+vHVAOoFaZgxoaYXDilmVBPS3eMvjlk1j/0+KVa
NkEM1u3XlQ3C7ZK0M+7TpNfeSF0fLDDeE2LEdbIUxvXgJtU7IE5OrwQ48RTnMOfRGgBerIaE8fcM
lCyohZ13z8kyxYdaKriufZez7exEPZNQgXGbDPS8ck/so7Sw1pcslMhWW6q8bgxdhib3q2aNz27N
RGXuWg4aKGdFjFgga7+WS6meRYR5yJsEC2E/TWqVEjE3KTymSE+K02DURb6DZFgUqPIM8VC1fZDP
rDqrLnqRUazsqfO7UxtnGnpLo/9I1aS7c0tTBtT5V1pcn5ra6p/sCt6q5splb/fjcBVxTJ2kMilB
aq9th7Qx48wXxnJdxclOSbMc4dSo1WdFuG/c59wSKQG5pEoXyWe4mI3tqaM53yiwhh7WMXelbwMD
COd0ktdcg4/qGHMPLGPqydWtbBYYlhbvoGuJr11fZp6L6JLxpynQ8Rlqap1VJ2/O6IsNMq0d9IPT
aif0M52W3xgV19xzRiaOJzUlRW/YhmKJ9F3LVu5pUVXpbXAVgisbE4FlWe0aGzapr3XWSAayahEp
amsHaURNSJao4rFTaEPap/oo1oEZOfimB9719sqx8m6H91w9xZrhnjYYwinRVKrQqFKLz82g9U+1
DVSopaQ3Ea8ozSOk8/XWqHR5bUx4L0CyWzuB7zUsW377Tp8Gv1imLtTTGjko77vYre0ssU2zdHjP
eeyx1XXSJ64FiCGW/rNqT/Otq4vpypx70gxF6u5FmxThoKyVp88pgYfVYJyToex2o7oy10G7xyPd
lXa0m6GN4NBikv8ZFbnwFVko3IzuGJrurL3rMULBMluW7+gyoxtcqyJwpOwOgi3cTNhDZr0x4l87
P7IT7ahfLp36cgGtl8toulxMlExcUvrlwjIvlxcsmiUoLlcaI1PlyZSUcFQN25233X5uY9YmWRVq
cZwu1yML9+SaaIzqCr0I7x5CkZUGKgsz3Le7YmGNiUk3Eh8AK2dm/ts9vEImvHYL1+Xto+HZAjGi
HbKaCDPOdo3DHeFKj9neTuDutqte3259u1JTEx16bR3zoXt2k3n9ak+rDKO5F0cwDjVdxVZG0EfU
t5yE89t0KTOaS8lRXsoP4sQoReJ5K0tA3ttfqsh2x8C8FC71pYiBi0fg+KW0KTGWZSyQt5JnuZQ/
lHHTsb4URf2lQMq2Wsm8lE3TVkFh+p0frG7SesKStxJrqfriTvDF2M86ogL4e1s51l1Ks2ar0iyO
g6sSWS9m4KgoX6Khas/paAx1KBEa30Tt3F4TnYDY3TZa9S6FbfRkI8YuAm1MRUB1315bPKNu2GlL
cqJz6G5mPUnu6Z/y56bUqie6GM2PF+SbZUO9w/HM4Wv2ef6RxYNSsWtlbIfwo7Pu2aAVyufGiNeZ
RXvrnnXmxilakRKTV9zgAqVhLt3vrDbaE2nXM+1vUvgU/NNZG6b2IOsmWBULVUdMG3hQdVh1lFGJ
uErcKWPFMXWPplGDmIw0K3kglEZ/racyPduLLLVD3/XxvRCiQVC7DDlkPDvpv9SLSm8kcOea+27J
ijCyxvw9QcmrsWaR083gwBj3Ym02Ie3TatNMLENyp8hByQNz6vlxRTxMPzjf3TNrkXnX2lb/xQJW
Xvixq67X1OYGuEIjO3a5LsN2NtuQs0EeMzuPPk/5pPEPHjrOeb7kOXENhKbUFRi7NYEvqJZ65Wdm
a19jXXXp4hcUJuA9tPbkghWJjtPQjlcDnuvLx3ZQnOQKxCBm69Hgl5w0O+wT6yMz1DmYHQFcoZXG
S6oNzTFrbPseBA2tjVF+IMpgj+yaRLKwy77OIo5+NofX8eJEH7Kvjy77W88yFeCdLPADR62asGlE
druAat6LGsM4iVJSv0PHx2c6p858y2pJ9XWdvTzLAt0bO/6RYjX/AqOkfeh0Q15BrBEFQ5+kemNY
PX1MRtFf5QATgq6sJdPYzvlaKHn9wVNqklez2ClHR2ZPTkjblVz39UTryXXaXRlOK/GBGAlkUw0D
mghxSS4imMsOJ+TS0Q4Fch3VFysbhipsrTb/KuDf5+HiVob0YgGUL8h6ZQEWVAylxNBuz2B/gbPi
HkjJBBkntXtL+yR/wbHDx5W8KyKb7hRV5OdFtR5zaIP7LCtBgRmis1e/QrJ006ezhVWZwusuyknr
psSqvyx1NOyGUSlRJ6t8XpGaLUg0YBF+Mcy25O9Mp286GUqhSu7gdol25Y3T9tp1z3HGt6hfVgDW
kz4hlVKJMiqcIeIBAYPyrrn2W69oVmAuGrR+tgfNKXMihfjF2VEE620ZJf5YQLUNlbotzzNkots6
y5YHJuTpoywm1cC4R/iDhy5c2Y19f45dcocoisybxKyTQNZ8xa5TBpsmhNK+731MvsiKzFLEDDSw
hMJJtj/mTLZfHbdtmDitinuyRT9vBaapd4QQ1fDOtHWgTZ679egQLgDbtB6ta2waq/AwjI+6J5XV
BvWYZdM161MmFTPnSOZ3FeM+n/KkewVfuSgPkyFKsR+59B/41oKwUHkGiJeqC+s0Zd3WxQFdaw85
4GYZyDlKIq5WQf1VF4bzKKUmgrq1FdSf7E6vyKjkoE1cAxwrFqPspkuWnDjKyC5vMzwRL2xP2zOD
J/tLGznZvrZiDOl5misfQouUk1PbbbVv+45IJSUukXgkGuwhRivJSBBUo93D8U3Kk9Ok7l0MqfUH
ZFkCr1F4qsfGIa3SZwajeL0xWmogxzYxhivLWfT697TQ/+0D/mkfQCPGoPg/t3X336uqX4rpvfpz
DJv+2x/8ly5dfLJIsGQm6dibXc75aS+wrQyQvmHNu4z+t6n3v7x8+if+J5BZGzGAvsv8qblzP7HE
ROkOT5F+bJvk/xfNHTbXX1sogABkMNE8CXsD8f2yGCgYBKxloy4Hc0N6BhTvDGHNYjZudZjN7qaK
1Ciuy7QrdzNBDq6H1KY7Cge4AhUpsBI/KVTiANt+KMwgcU20NVhwRuZ0Hw0I/7t5c6KUi6YGIkV1
BnGbTtcrlR6gv8YRvFoFJ5Ri9AxjbXiIA0LJCMkSIo11T8xG/YKeszstmy+GdYka2sq6Pke6gs5M
oEAPu4uZBrl1+4j+GYuNerHbQK3DeXMx4eQXQ059Meeom0+nHGUUjEl1oI9Jv2Poiz/mzdcj+TOf
zaXOCH7bfD9YvbEAaRc7EIvlnqt3cwnVm18IJUBxNW0eInjfw8004yvSNocR4VGYjcgblyGT8JzO
IM4mn9on9uXmUFI2r1JRlq6kn4mwqWxeJqfjbYYSQRmBNUY9VVY8gtZks65vTiiOExe/Hu6omRzW
+2FzTA2bd0rdXFTZ5qdKLtYq4gCqExaJxge/xvx+Tuwdzmd18DunvKGhidVwsS3sWl0OI8CvkM6x
ZxiuR2xdPWyjR41wWXyIkB0ogxErN0iRcINV3Wi8yCLXd1Qtzh7pZ4ZtbI2iG8QNabAYau6XNfYY
0Lr92bZqhyBvKzJPBvihH71iVaEotbM93ZduUQX9LNq9iNV7MY6MIvtaNzYtxfimofp+RoQq70Cf
mT6opRA2IwTnkhhAm+ZlT+ZncUIJEl27pHo8mOogbnKhv6YQ6gM0LDlpDeOyq2hUHpeRmspSzPIw
q6Wv1trg53mWnaORuhZisR1EyLKPlNdYUxmzlmKe/WRU6yBaa0abMGOjQ+ZG5m60yvwHK/APLXKV
XS1QrGOjLLQzDzkDNQl0Cot66SHaNULNMecgR0gSWJX5UPO0+ZrtXpGimXil01qBkvSfVwwb3ipt
ZZdwU3omkbeHuU9MPx5jJHLEm5wKFPmfCauNj02RtGezaJqbhVroBMoJwZmSLFTgckJ32uEdmFqe
Gx7b2ZPWou8biqAtcDAlR0FEuc+Si5EiI8fzMg+mB89I1PHeEuUSa89OVMh0xx5n3jYj2iqsMcjm
JE6c80xsikXGgOI646Ou5+b8aPbIBoRnoj/UXjTBsxCqZpZeWZ1qP6BOjZJXKdYSRpWWFcaucmvm
zwWacn7+lN663FTsGxs8WgVUqMnfcjS6EAY0BCnpGlV2nOtNq19QtPPbIG4W1b5DdjY9TilpCnh9
L3sJ2F8sKXIDCMxbTo+2VsE65ZVNlosJJmZpLHcNpp5NFYu0NI7fQNDE7OATLeXzUeqSxxNssBpK
/HRIFbVU8usDLbTjoOAid8K2NIY8PiyDI97GGkjDBwhwLbfeeI/ccfKKcahPrAsMJKBVlA/UipUV
5cdMrU3anEQlduOpykcLdnJr6JavDx2VJEpu+dsS9X839T/c1AbiI0am//mmfvou3/ufV/e//4nf
r2jX+IS7FpsXqW0wIS7G+d9X98D7PlkYw2x1s11v1/f/XdHGNmS1+L9QXwmVSSyu/9/t9rr5CVkW
PFssZ2AnXQJW/4srGmDSpgP6aQKLUcpE9Qa2jBknWqHLGPQnOY46QMJt61o9zq3evU6KoNYuoIRK
vbhdEaeEiULzL8s6P9uzc4MsiEXalLWPTa08Iu3rTyM4Da917JXDelSOC+jDaD/B2bsfq1Z5H+2t
trZqtT0QJmHDXjb1uL8HL7sYD0IQ4sLAsio0+7hqnaPfYsZV6+cere+YMclca4MeCDb8jdNwAJCO
gA9ISo+QkKEU4NxwsiOojJlQQf0jfOIZaubAF8bGv6CdEldautfqkTuEdqKKfpcUQm9Og4jTAjF0
lVMoeRIBKR6MMlu1k10v+otY4r4FdFET4egPAs78HlzBYh65T0wVxPSS2tlTBEqbrylI8akNEnRV
71kVOd9iQufx3+k9cq+wY4A6IYhEC6piIu2yhjwZZDp7Unf0K6yDa++PlptcRcBeJn8eGGPtJna8
U0jW1AJ3o84OJcyiN1mlQ+kVBCUcMkU6QHMd822ZOCrRWiaHtE8f4y2+3YOZdtPqVX3I9Pklq1Nj
nw0zlUbpxgcGtRcwXJy8pnDH43CZ0qPtyJtadFfJPI6vfVxWtGj9vVHKBFXU5DK6iK2PQUaz143z
GyrkHi+F6+fSOMYyf5ETmPPF1bITFOavcVoT4xTl4+PqjL2HJ6ncj7yl+HDqTUI173ubusHRqz1R
kOdpTV8o0n7g0RyuVkjEZEzEtyvLNL8ch7e67E80VdUhH1iYIg+jky51r+f0vWoauPcdFPOELAis
2/nL5ggMxk6pw7ycvltpZWFBX6P72a0tD7kJiR4jwojeiIJ8GfO9mAQ2iHW60ynlgmmatiED+kYx
szGLxqK7cYZZD21TqEe7TtNdJVcT0H+c+JcAjHTUp305melXJ2nlSXbLEjatqZzjZhGAEeLvbLLr
O1MZHs0hlY9VuRR7nAIpUUBNeqjyze6YqpbHNhlNI+b+3eCY4si5kOw6+rxdTKgMAROKy+xw/l6b
6LGHZKCC4OzwqITTyo9k+rU2cDFAWycUKu5ij/FNj6l4g9BXA9JoBlieqU6wyRRQZwTcPWlmpdJi
QwAsouMKDMAr+6b1zEF5NQlS94xcZqekNdk3NzC0NiLHl3G1/UwbcBCwiIAk1FoChLEK32jKxyvL
GvjGj53TQt1blR+MlmFsTFhkTWhKjspuPJvWBdOSVA56ro5nZmyz/ViIvLmHoFNWXht16W3j6Bbz
09QJIxuph68VY/bUkw7vD4iC432a1fqpGuOu9Bdj4KfxYCH2jLg9IeoYvhpN0z1zHs2fJh6L2J0K
RARSLt/ahkM1jG2xnFgfI7sf5mUmYoJHS25GdVX6La92E7/AS9Jw7qWgnSKYBwDSkx9L1uMrdGa3
RY6htg155Y7Zv/UmT4tODBGeczihKrhbt9wzhiLDolX0varX/Gb5fLSXzNrjNuOUkBAUoIcCaDAm
MGPNiqexaY0wctdiT2mJn8tZPzMXcF/stJG3Raa885V61ddU9UiOrJnkD6dBacVtBvoqYFaSARpI
v0VkZQap3qQvZZexvmX9kN7o3TLRFCGECCgitfu2jJ7bQs8dD2m5e92Ioj5p7rAzbGO6nsa0OcPd
Ux5z0dvvemmmQZy7rb+WLiCVMU74Gs9S18MI99ZuKRb1xooWUIzR0AdQUofboifphr8HsZCiLvtu
+9ay3bbwY+DhiVrMZUpbJHu7mO6LBKVFuvSHWVMT3YtIV+UuWVHVR1b1wIz/rRpr80BgivvR6f0D
eQDJTA+Ihshwhs/WkpF9jYMrBPd2FIXmBPmoGUhetGb4EVFJh+SPKVeU6gkGllELKnXF71hLlAWx
E+8iRiYeGJDbFETB3aqo080CYBMx6GgHaYVfRvYZXy1bH8NB6PE+cQX5OAy/fTfLRq/Ruv2ixB1n
8HAD+9f2V6hsHlg1nkRsF8cBNrZnzRBRmOae4YEj63dqjNaiJAyYnK5DK+VeWVqMW+oU+WhpVDRT
bvmxEKsTqghVgCoBjmr6nKq8rHHLQuDrn1xiuQJGw+SUQh0O+qE90lYyN1OaH7K1n8vUrsPVnced
usX/Eu+yIosSdUi0QbIbx1KelLz9tlEJiiEarzTJQo9YsNYHSF7d6VQm19S2dVipC7i3dFCPK8jz
gwLQz2sbBuwTqEeMHHSVisPvPOYZyThlznnXWl/Wlb1hRUpemOTDF73O8yuziWg9FmbMkcHCAuCM
ds0z0O8JQE38Oc9/IIVwd7JZv8TNNvJeXc6ybDGjm6hGD488jaMff+RXhlizD4Cuu49yPSIVVOtv
Z+FMXO60+5Yao8MwfzRu+10MabEj7w1tmxSvJfIcv8z79qVw+KvWTmByH+XwoxuF7mfgsAMQPqVn
Myu8x+OePbh63RxVR1+vp3zgbbDzL2MZqQGHac2pnU6vDjplXwzGY5qC5JhiPCWZdDjXrbT4ilBM
R8wGaXYUpbXLJnvxK1epdn22lte6ps8hSUfCn4zlK/nMC1gJy/bmLdNixhYWqrA9XnpVX+9zoycm
qlqZgXiJPUoYGHnDy/9/7J3bdqRGtrWfCA/OAbcJZKYydZZKh7phqCSLMwQE56ffH3J3b7vc2/77
v+4bD9tVUkoQBCvWmvObY1/krzz2RX/VT7X32AqHr7X05QEJ4IWLDT/QSj+5G+Dg3Tp9nL+KnABh
152CpkyubbNRR2vwEiuY01xGqEC40GmW2t/oydPtdVDQcECJ7DV2TRoxZAbuhhEz59qiHczwNzKK
acwPcKO1Ey7c550pjeZmpL161DmBHsXseN8n8gZeURi958S63ay6peURDfTxmMveunEqd4yMNZ9r
dlbZjzsHpK3PDIj2tOOwIvTqHvelc48TRekBu6ZGiWFKM3BsVX6qDnr19qAm3FNQVZspqXMPUhoO
jwwBQs2xU/5KLBUK0XBJrAdJDkcgev3S8/T8RUFi/kFGyqmcMPuEeZOSwJFYH6WrnIfazcx3I8m1
CtCS6zNXotN0IZHKt7usIJEmnJ1lftdLrwxlM6iHlan6RczmecUBuzxgULtdmSjGTNxEOPI6mI+G
tuYsZ3cUH3EiqiA1lbjxYfc8O7KzrxiEOYwhYIk6mUVsfSNXpGmtIN2I6ft9R4ufECkuxTVue+ya
etw42NXlgOmq8/oqHGnS39Qwhg9YLfN9LKZ+jw7YjCQ/16HvXO2QM6asDq0os2d2s+KZV9zwUkKh
eSjyPj7qGJMudGei4o1b99TWI2a5TFPAAxd3Kp8SM8uX86gtSPzWFDsnJnh6FjrjOJrn/gmO1xik
1WyAACUqNHRHekOrrrq7fp37Z91bhw9HTiO5Kg29CyDeNwD1u2+N5UANFarJ+9Cil1FUDkd1qqv1
yQd0ji7BcdT0mND5hEnl2IMfrr608AKUchmjLOd5OPueXVURXQf32xSj2XhJ8GNzVvdm3qzeYPs8
iN3coy1zkaXahc3Y0irS11FMNBgxDD6Uaw3LQMGHuCrrOXuNK6fe45Qj7ala5/JiGGo9RFCZeDsb
9oKH6GmqnnXyiu9G/upxrtheu8p/QJZbU4S1w4+6qglkTUW+d/s1OXc1JSm485YYt2qsHo2Utpml
C/MweVVxCci03S8Vsg94HKR2aGvJiKmTzn4y6umOPOWuC501rnb5SOTdmBswk+oVRBGE5eMg5uTW
lFa83DPy7ZqbOYFuEPrIq1u3COCwmxQLlUw3YzOmMdOU6oNyM/OGBI9EO9kP2ATdAl/2sDSe6BR9
qrTyYUEg5TyXs60FrsqNqFxl3YWWStlHAbADp1SudexT13nept+kppOsI460A6Xxg6Z0HOpaHieX
2Thm7Y4l3OUR+tUpdM1hZEiIDZbdB2jl5dhrkmQs37ifW0y8FSLNA7EkaTj2i3Zqp05edKzJcOit
7FJC3AxicxCfVdfY73oNcgsFJJrZw1zJR1X4cfZqGPYQVEgzcXq6cNqIHnWYNXner7ihk6M7VJTg
Rs/0s8068URzSI8Ywa/EfEKz2CtTrW86hfV5WqSzQzNzDX1TPzR829MKl+ROyky+pLPNWGsynNMq
sykwK1uGTmrQ+THSyoqSAsgjrTqqg3aTRzKHDToi+65tSIkhXBP7m6KKjPp5BuxGjHOU8K6jOG+X
aDa7PhpKcaHJegwbDu73fZL5+67QzTfHnu0jTmy5iwt2phLaBG6aJj1kiTUCPgXfYmWVy+0l1PdH
6WvjAVbRjTWn/odedzfbRHjX9boZSNNcji1mW0qpgTBQjrTzzqDzF7Fu2r30ZydqF7TyeMNIaDTy
jAAXch0ZvvEaj2et+K6o6YnXFdVRI704JP9yCurJrb0dyn8VABpZEI9a1r6J7WpX+0K76a11uZdT
eoQqX17N+L+QFNYWY3ciIKOS7JJfJeHMV3GcZWy0bYJjD4F1odj4B4RKYHzJz+ggaXRFP/LSmZa7
tNf963Fm0JrXeDYBvToRXks2TIRDp0w3bj3m7DtmiHMTDDJ5U4J8y7phUE9h13rXhdZ2GG6woRpl
bO9y2q+viW9s40yFf6bK0upVk+q1BaiN+NY72OikdOAR44c+82L1Mn29WGDzcP3oEe5Gpx92M4Pq
YKGBu6N5jwdgLd/Qx6XRyN3CAT6/wAk5p4kXLmuL8Ll8Ufm4rTcax9EAnh23sWVFDHjMXZn58SnP
lPNWKKLSq0Qn08piHBJo9YysoEOdPCT23F42bl6zWpQ4GHohoJrY2WWZJMUt/QddDwd7HrxoxAdx
rXrqbbAbZthu7Z/ZU/LCb9sS1uC4HpPc03+dao5oObS7Y2X3oMu01rzLe0FHQHbvfTr3J1Ehz0U/
hVe9GcI0XeSFJ92WF7BWnBCmj3drQdR1krU/OK9Rii11hnptzauLeiA5FPKiWp6Z8CDiH6crC8ve
E6XUY6a1bUD6mzinrjUF5HlTODYp9oe1Rf48aF1Yj8N332ivJmNh8pmbT6T/FAHmD3sPIdcLJsfy
ntOZbjpAgjr0dW8MzCF2HtemcHbOWpjnekkBr9avvRTquKj0oXONT4uddD+h8drViUTC3pivaBjK
C2us7Q/UM12oJ52FRrp6mnHrfEpZaes+qT1G8HQ9KL5nCWdwdat7otJ1ECMI5ADse/H3UR8KnLfj
2NGgWKZ7CAcrkZxeHNN26qeJIEh7odMOGYMzzuwcCvBy9zUbVr+TlsNcNieNbNjhr+81noQqcvWi
O5mI3KYVMDNHnTjkVklxVeSOvBldm8LaoEeNVL/IjB3cghI7u1caKhr0lKRXpnkX/At/VNTep5mY
92TYsHngqz9hlylOi8PLlSH0e1yAIjkUWoFD1B1shABYyJxyPq0ZlHlNN5hX5zVy5B6akbn1AmWd
BIs/CLge7rg9E1R5meEcTIdKOFEmWwIx8uN0zJvhKMb2e+Ktp5kFH+DV1S+KRLuKSUkgH4f5S96K
k0TTtMcLKCJRuOVJOrT/oOCpoKbUD6hMSQSy28suGe+gMH3oVcaKjxcn8uf6rrVlHdKYERdkp5lQ
kPr0wNmFBuJaaTeTaT+j8lTnHqB8OHUu4d2lVUOhkwledBQ+ZLBrYecM6qLuE53ORd/gPMXwTtTZ
3QAr7pjHEymtzfK9SAw6Z/1i7RHW4b/vrR+xMxoPk+cUoTsvUxcQWjD96igxPrD3mTvXdTAogMw7
dS3NKN3IA0b84Ic6T6PPAmMz6nRi4Hy3vrL7UgXximgtNLMJcZ1AMCN2uU74DmaMwPDXBr7CIt+U
0TSvDu6watNur+8FQ9E5AJ6qvTVu1d0IvdSOOS+8jvQ8MWN2z7tLwRgsYA6dI8HIklOnIbewqmX5
QZ3Fo5XI6i3LDe8GYV58RaDk8K5l7meCiAsASaqpU0sb+m4lFjxwMjHVgcz06Zs3O8Otaab2et3N
XoPGQlTNgS5ohTm+t9BerT4gTQbHAl9iNofSzLBTZMxy95kEzm0TNn9t4FdgCsrL4JjF4+OSON+o
EJyHNk4aXEpLf+Q5WCIXnRqHK+9pQlW5Q/pjPiRQfAK0MjeeoeK3aoYVBIfBY6JmmllYckjXzpNJ
UXMJ81Xt2n5E52T7/bxPsPgHXZ65A9gT9p+d28NdPCTxhH4H/A3iIHphW6oM87eaww3l3dRI2AZu
0z110m7PQCM8CFiwxvEQMOc+LCCYgoV94dVtGFVdT5mjP458Azf02mF9HgrAGzzGpAxbNKgBtdSL
urIGOVwKVg+gGzn1ByD02eUqpYTqQ4MH18yQUDExmIMv1TM46/qtEmKXeYUOIL4z38N4Xgx5f5Qe
oKVWm1uKVs/2cBwRakoItDU/QJDqaT7phcQHvxDQI03NfypNBTchTXJcUUmczGRvLMv9goIFDigP
WrSC74Dgo7bwCeTDJDDrlQxHS34yjqwjRgR3oCexWTD1O8nC7UNHDtMBHE57Nyej+ZznVOAYSLbx
Z+cYt6rdCBBlO3r3yul4n7KXNbflqo3PGiKAk5W29GU29NxVt2j9cyE1/VqHsH4wJdhhDq/KukNO
JNDNQb+G6x77ZyJ9TJIAsuIET25kEGnRDJ3Ngae0qdlWd5Xj1cC7VJqGmaNyHkpURwz+JrqCO6vz
k/yaDn/P+8TvrPKcG+biMESfHO50lUdx3yU5bDR1SyQ9bhd3kWbEjHJ+RCuUnHI03QB30+WzROD4
GhuKQm11ARDR6eiuU9/Pkl2SZ+3z4DqkGmi8dRMSmXnZE3rFYSeL9ETlB6lNHlSGrjp38Swuxknv
I6nc4lIaCE6o7A39kqz26Rtmsh6/zIyLH1OeHbidHbOd9NqdLFp5Da3JO1apkURqXJF6Kt0OLNJ5
E/QFU3/loex4oXsLEgdX0aNOfXfZNe20H3qqf9qZgi6NBt4qRZsA8AykCbMMYulVdTX0/rs2GrA4
yAY5uqlDhA/z0St/5NGwcjONsta6gIPk3dazOxNL7IwnVxPIqty4DG38aCwaXwT0m7uTwk93hXun
uIQm8ANxlBGN8aITTra8EeaeBqYNOQmVFG1FI67olXXLE1zpeC86+KjSXK1IY6Ef0lGqYEQneAH2
jJ5NU9RoBn3C0lJrNkL8fYJkARKRCB1DiVfaS8BRYT0u3eximzPUcOuJhj6wAc0tJPdnLO9nh/H4
kvKyyZ2iITiN8fGlJtpwchjf0GM1qDSadG8UHinGzXrtFCv/X4/vlDUvNxO+9p05Fk++Ml+shM2a
oW+U2dYa0il582sc8H7CwGNilB6CrNLDWmjN3jQK+zjZFQqI/H718Ew1toPYAVk2LsT1xiIfhNF4
+wzsKL9FCnKMNfNIYdUfRoyJ37WZMYhpaS+WjgxHX6mQN8TYAS0CandveKv8vL2bhvYOQ1C57PTG
49VubAfBtNRuPETXyFRMMk9r3by0R+3D1sRw1Zg1wQbs/zsi6AnYAtL3golxQ+HOl6NEmdqV7X99
Qxh+sn75u7E1cAXEVv/32Po5U+8NseL1H0bXv33VP41D7i+EuJgYg0w2w69J8z9d5775C2Mbl/Gc
TWNt8xX9a3Rti190MCY2AjJgy4KJ979G17bJVJtEBDqUtql7NGH+k9E1H/G7ubXtgaoTjoWyDLgb
1ejPgUMm44KCpr57JlCzOxL/M986Rr2BDBYgDX3Hmeh3F+j2z6CWf/eBDNVgZRu4glzjJzEb0eT0
G2XlnJGQEkU9QoJBpDHfuqXXHpMF8udffx4ygz/9gnAhuF5MYZAHbOK63w3mcb+sKKOFfRZN6r7l
Ph9g5bnxqJzx7xg0f7TIf11LbjX3mv496P+N7v/7j8KMmiZDYdjnoppgS9AxOhJSCTjONRPjuqcE
exLA9a+7GH3Pf/xbspIcVgPFq0/B/8ePntpiXHSts8/KzPFdehIkCOZPXnxjwgn7rz/MQBD58zXd
YnN9dJSGRzDwT7/oTEp0JebMPk8NomiOZYxc6Gnp8E7GXsDOrC04aadqngFoLF06QgEyGuieuFK1
QN/gnH/9E/35JrvoOFwSfFFxEmn5Ex4gNwCalsQSnD1yYyoEaVAgdQ3I/P/nZxEgAT6CJczC+WlB
EaSoU2Es9tlScCEHW1MfArH5/ZCbfwfw2a7j/4pKtgWFNRCNCkwI3fH0n2Mjs14SMtUM9nmM00/O
EX40mJX2N3fz3107NiHj68PYpX66mciybNHDoTrjM27OuTdujWJXQvRdN/zmX9+onzJufvuVNkQU
8Yw2lxBkxh+eES+2DOjshnXOidGhUzfymRzF6JCWnYKt2hbOG9whHtLMRwSXAl1NRgiuf/Nj/HkF
u7rNtqdvj6pt/rxgYkZGcUxQ+Xn2evNkFbUBbzIGsyw1xQptfRrfBLRSGizrQAv76+F1JCm07CDd
8a9/mn93B1D4+ryqudMMVv54TYrSd+eKKdRZQeu7x006wXUeIMLKzo/+849yXWDahuDVQrDxHz9q
ll7XdKK1zpnD5fX9jdmslTNbvedyJ/76w/641bN9M9sklIiIFJOP+9PyJY2+KdtWaidKSXiWGjbz
15pIu9d1Az6PnLm8v1nLxh+34O0j6QmJzW7Lo2Nb2xv191swYCEbnSZ2Vx0NxIGTF/QivEPzvTtp
8xZnx321HKhEqZfTBtsQR9XcQ+fQajmFXua2x7Xl9fe1g/S0XxULwATpE6caFKWME//fXCTnpyQ+
hxe/2PJjHKZjloXO/KfbT7Wd23Nl2SdV6hWFIgKIJnO1PV2OYqDJXZEJGZQl8wfG2kTGupHBN7vr
OnJxI1xP/IxxBX8tiJEGf6xW1X/MoGipalNOgzj5SIcPmRAYzAO/CNhG4ttvberN96ULs0jH7fXR
oWpDWrEhbNXG/p42HHk/iubsJbZ16nIu4G4p8uUWwZfWRUjyoDzjcUJb7setcTSUs5nWsblMIVF+
9ArLjqY1dq/Mcg9l3fIZHlf6K06KEztyMWRDdB4QShjXSB1YIXLjJ2+WOkTlMQ2LE04R8KR9AgJ1
6QyITphU+w8G5O2rkDX6M7Siyz0y/PlWM3sNKDCEpuy7sfjcMrFaLmPUCYH3Ex581l5fuG8EOLPa
7dwEDW6QlInlbntDj6PzVi2F+S5hWR/HVrT3nYuQ2ZkEndIsgWPK/ksDmVRC3jDGAi9Xs1oe0tnz
LpHuaoE1gxH+4mcvtpkdYgve+xf9VmtM47H/gmP5YFfulUrWJ3N01MdvdHS4Hf6TMXfqo6gSk26V
BdN3VTFqcw9O6NMgN0oXp2zrwif5Eu5kDgt47blu9qDTmvt6y9Eh9facUktSWau0y480rGlzLIKu
aWinLmFUFZEU4sTsrDuC+Jxvv6BYBEPM96QnuHOESQBcuYOK8LolxjpFHq1Da6dhtBKVwYiZTBRv
YTqvx8I9yW2/1EbRojywx7Y8mLPJD4P3q2B60PNedBsmt6zgBIJWtXpwvLWKBu/ibPTCuPE2pvdi
877pixjQtFFbrOUxpx+iQDBv1JTBC2fNApBubHSMHiftppXhvbwjzxAK8eZIvCKrDHICEGHnbWxa
581NB7xwqu5Qx+Og6kB7reZxZYYmQjNx7e/1OOJ+pJV1Rf+jDFvmFgZ2dGQveyPTu1NWNuNFAlGD
71LOczDVK+13XcXuI9z1DGeSu8F9hJMv1x7Wd1pZKT23qiAhj7YGGgCHpNSlXpfHgqCmCMejBNSh
08GpWZN0r3VV3/VS0RnK46FCkNb1n569NheOKYZr33WY2yxzTjtxKNiZghUvQjSBfOMiaIt8ceFK
qj3eevd9XgUjVlCml43Su2Sv02FH/TfILDTypkZCOjTXfj4i9QDAln5PLI0pd9OjUndT99DWS3w2
oFG0B09N7qvMqh4WPOIRN5maE54slArzZK/f67LFJOqYa8Bojdvo0XRFqT/V30k2FD0TgxQHu96J
w1aMggedAUWHXVdpUUsNuBspXvaVZ/bbxgR2nfHd/VAo7aKmV3KRd6naL86w/EqzcUIum2l3i99U
L1kxgqVfanr0Ncl7Oa7sHX3fN9HbPB/ZqsFmpUMxjJ2xrzB+5/R0r+051dn+UQ2iaOwYMISuKOkp
45/0yUTdda7wkma783K6pNL1jrh8Fickkmba2QzHCibhfhzaCLUu6KcqGM0qDVcAuJFZNcM3Wmw0
Jcda7QeHiJU61d9Lxu0vGHbxSPoG1CGNkd1Q8nPAEq3ueCuBtV3Z3i9du512MtG5o4J4oEsal/Ut
bG15W6qeRa25VGRvSwwzXjNzHgm1ERejRvbI09yvYAGsl5Dt2G37j6TDBBvAmDYwzK8sWb0fwXij
bUkib5gdPSqyFEVI37RU6fjIgd+ZjtbQHrNnApHh+4ul7I698nkfe4PDcJ+RJtD6rty+mzFLVLYZ
ageGJA2FGe22W23mHKUQ+oC5G1fjcZQ2j/6QOqiTZzufyVoo5KuULNugESOkxKKsy1eA0iRDjin0
B8NqzIZnPlWy+g682ZOfixxt9JCij6NS9Cqqc3v6tfImGEZOoTnPvhuj7kp9dYRjjhOgnpOMZCsj
T3+osX/LpWNFjo2FIIgXto8XmpmD9pCt+JqPnpl61yN95sClPRml09Qi/3XX/eLV8tvqJ7T4fWFP
30anq+7dRH6aJdJB5N43RW/2R/ZVAjPhrQ6RPUjzI+nT5GPNsukB6x93jic+j9oRGM/OTsTmB06z
Ytm1pRIn14GwgGGRpmSgXPZx8ALQAI49eQZnu22WK4xZ1r27zmQydxXKO4y6cZYHFDv+k1aPMJJn
o2ec23X2zZqt5U3LtPy+yjw48Y2h3ukOlYhaVutH47vjuXcl+jgnNjPkup5FNgJ82N00rJO/q9qS
7QK3DHMwzz4t0/gjpt/5MJE+dWcMUItIa3W+F5OLF4qgKZ93ZU2nuF2sBFH5kl11s2OdNH/yUVCN
iXpjSiLPFdarqM4cBHCursU7u1dVx5B0yfYaxSytS7AlEL7sWMzIy2rrEaqnPI61taIiSuNLfRnW
uz5FdOQTdPVKIm07RLpSdnaas3l2gK3ryG+9GIHhtTvrkzz46aDQ0dXaZS7W5pueIb0INGi/oBQ0
oRfHgcVzPfGG/zTGVl0NUo6HmRfhuc5VxfTbTxmMIomzLlI2twPiSoMIEyoLjcGpGO8Sc5ws9Mcx
plXFlvdazD05RTCmLmE0sY2iD/P7AHNsTUQMqriYSLvGvOrFgr55wYbuRV4pbDZEA9WxSUjS3tda
xpmScAKkCjSvS3c9qkFk9wptxrfBWNSTVy52NM5rEdCghAmFw4z5TIrTe15zEVpyEoyh4jVlBMcg
e9frBJVBWWagb3OpbseVc0pdkgQROE2c3Zi6mL/p3aRdOVmPJTizWmvv4esXu1rWzh41moOMzcx8
dRhYu59xmc7PEinm++TE4gP3s5vtdbxJKlDwkDDnNKXoQE9YzScM5jYLu3RdGDL28tNJ0cyovCIC
eM1Uf7KmmVlI09RI++cMZJ4tui4oeDvfaOWEbAV7dI+khpo9WQluICen2dwNg91752JA/YiXYnyB
BdUgNUvW/Ib4XqHvYkKibmq6xP0OQod2lwKOZaZIAwn9hpzKeXiaEZMjN/g61PzXwvM3vVD6EB6n
xf+7F3pRf2Rvf8x/+sfX/LMTav9CvC3HMxvLrM2J53/xmx7dTvpzrmV9dUhN/uifNlvjFwFzCRow
zM6vbKh/NUIt8ct2WN6+DJSS6Yj/CL9p27iBftdtwQtkWIB7/Q3xabren3oCg6nSbE1n7SK21hnV
XImgJI/x5GMtQA6bfnn1l822rwYNB3+RmMalu9n61y+Hv7GZ/ePN9i8Go7pZ47n+7n9RARK8GNmO
r6qw3YMNQGFWf68c9h19gwp0X3wBtHTWFelo3kpE00YgUD4Yxsz1HkRXlPcAd8cbfXyrNnBBuiEM
+lHvXvF1wjVYx7JeD4UucVl9kQ+I3oCCoJFyFIfzFx3B+iIlIB4pfqRawS5gwdkDQwa4fsMbZRek
X4FfiEsmQQl8AQv+TLzaodNx6I5K1GtW0OGkpVD2cuvQUsMxxtgQDtYXzcH6IjvgQHIt9GcAH6SS
8hU2wno9qAUi/gaGSHw1vaMVAhbRZ+wjhE4s52yDSTCyTd7MlNNPBneNt9SwH4dKBu4AgmLeYBSr
Mze3jrU0yOe8GbzFUk3igCOyuPbw2NwRngcbdenDBdqFEPB5sQsMlGhDt2PPB7SSiVuj3TAZOcCM
mZ1sZ82Vd+s6hoTpkPcP1jKRKYmOKbKnxTrGqzRK5FmbW7fn7JDTCzp7X9iOVUHwGNdyg3kkG9gj
c2B8eF+4j05byid4McPDsDFB8sGgHECZYryg5IhfEORtulc0FzUS5stpBQbHiMrdNesC62GO18s1
MYbnslgkqgu/6i6nuGvPKUPuT7/zYZYky8YvUejEbka7LvHK+JvgCktFvaN1OV6VGlwe3GLQUNqN
i5Io0lEYBldNtTPzSX1nGlyWwQSdU+6K1kpua8+vjSPNyew+lYX1bCZVduevDp+GmrJ7MKSZ72EY
2GfjC92SbhQXRPUJDRLQLubGeJmYZd6DRCBYnICoV60mvZDhtf/r1E2i27tfsBi0LoBjphaGzNab
nwKO9432kieWe4uJYdPDQ7qA96jW4t3+QtIMqVlEBBtWob8Ra9qNXcN9LBDOqPRWzLm6UhvjRnQb
7sbYyDdpXNuh5i5JtclLm0fPwksM3wFcjraRc4wmsa/gcw7o+JtKAoTAl0Q6ZcVT/kLeTs5wufwN
rFjMpgdm0f+NttjUBuaM3eyP2FDuEd3OenlZw6zgfGIqrSfcdaK6jceV0w3FlbWcUifNj+3k3hoe
wnhpgxWxLAbRi935oDp4eiI1D+VrHPvLDoEcJ1KBuFYhAzOboAZk9jAMyAZ2C9wXXHRLG6R1pl/b
kolfj5YThFTu7FSjSo5jHLX9eCwiz+II2fG83McKx/wOqWj5De+ZVV26Q6/ntyJT+KBDW4JUebBX
NW36OoEXGtVSqx2noXuyy3S60woPN/7cWdOF1Y0n5gnuVYMo4lD1hRmW8wZXGarlrm088wL4Z7tr
PCe58BZV3k2d1d3zlp8Dm9i5fWz5ZSQkNxIK866KOckZEAPwCxIrw1QUAt3lmJ/klPGdLK2lGonb
yM/MVzdOEZXl2ilH8D20mJJp+ii+jYa2vlX2U2pbgFkUWhKDy7JHYKNuMt1+5RychBMkxqiZRu0K
Z2J8ZFAwB8tAMuompoIozDOw0KqhcF65hnGvn/MMfRFSn4LJrUq/zVZaM+ttnjyBwIk8lneHOwbK
37yHoO6HcY+U2+pu3CnPb/u2frE5sO3M5SwypugkNWGJxkVWzaIPJh21BALvkbBgwix3A03ZI0Cu
IlgI7Nl0Fa3Yral71WaGOnUWmimkvvvF98YD7hw7NNRStAiUhR4KIgpPHVasjF9Prq8pIJcrwEL2
3iVklFaCjZ9s6C+R1HGS04b6Xp/b5rDVzAdyGVhNC/PypYtz3DsNDUIvc+Rdi4vz3lq7gvTarC/v
Cm2ebly/+2CEpp+KLDHOuJhaPP9orAOJVnPbZlutAnC3JI+CLkTIPJTj9eyYEVVgFSZuslyXM8d+
PFTdtxXLHdkvtro2/ezO6TTaRijHg24c1XXVFVXQVWX1MJZxfOeY1HD2gGnKgaGHSHo8+zE4pMK0
0rdyjt9Spbd3JvlRt+bsz+esU5ylMr9+GCbi/XrLPSmBFxM7Jzu/pj87KsWhp/GPFDRuQLOlCc0C
1M08qntPQxOxDvOyt5bV3w+TKD+BntXX6xSpYR0uJ9oOEPEHZV+zx3D06DOBMzatNut/SjMJRseZ
THcr4PzFGWVW6btdljxbJN+ogESGexZhee03enmbOzGuptoVKKRXYqsN/RbAjh1y0O8uqtWybkt0
AKE2LPLGmYzvzti5EXrS4oE4DU54vTCfgey2e4X3wGBlpPh9qAvcgJiMer9kJlJIOtIHg87RWRtd
/4TsfzniaZgv3J5XJK1/94LOl2uE/62T/180A4Kt5a/KZNI361/f++x96H8vGvjty/5RKQuKXpQC
hisw0lgAaSi8/2F3F9YvglJX16mUbQYZLtiZf5bK5i8AHTDAuxTX/3DC/8Pubuu/UCIzH8bzzuyN
NLf/RDMAV+3nUllYFkCSTZ8gnA2o/8cxiwPdGit6Nh6JGjVIN87KKF1rnCR9/7K4xQ+PqSJ566Tx
1gMC/CKHpoJ1tDh5tIUw9HmP3ugVJwiCxRUb6eVIgjaSUfcavwuiGp33v8hJS18QVOM0qdc9Iks9
bBOJFtlrfdTzGsHf7uAjpTTvZDxiJeOdv8th6kVGSwRGYvCZWgKRPocPF+h6i36oUC+kOT0OhPPg
vWs2Im/+w9WkHpYVf73YrOPNKEggHrsXw0uJPHYAf3+FgFexeNIm/T63jB8ojGkkOfKlbLLPJqEp
MDecyfGDECLnKeTn/D6unPtI79oX18g39aCod5PGr1ejzUUNj/Nl1MRF13kXhND0Uay4NMTCRElf
Wbs1Lz5NNl6kq1zKxutUqLd8Uzin1s4ukm/8ClwG3buoKFhDYt1Ajer8DHTitCiNTQVO2UQ0C350
j0OtDN0W0e1Y2HeTR+b89pW5DWg98+EDrCZOjmThEsjS6iOqrJVYrfLOB64UlYqPhGfsnB0bIDnI
YjMaWn4gS7pFqK/Jt0LByUE57YV+U38uddscW2S37IBLEU7FYmKlLpP3uNQMroP/6OsI6mB/IhnF
oY+/CRQ2x32PUcFoIgb11WPsxcVlS8cPzw60bEnj9Dh5XD0LHR7KL3HhGdrj1yKhqYDI3wafKgXr
AL06/DAvCzrdf5xgmQRsjWNQ6c7dSIcoSPLCvrA0ktiMfMDejW7qJHzi7gB5s4p6/q7ui+tMGUXY
Ngrb+giY343h+q8mC2soOZZUjnPNev6c/cLacZT0duWU/bDgxiIF579oGWGVNLQ6nHqPXX9s+JqN
JkQzygtNaqArnRI26FT38nW/K+ICoAyxrPqJ3zdJWTJicwo3LfrUwfXKk24knzzkrGqmD3i5WJ2e
YKk027OQtP3yrcQas3O9/Af8X+7/7Hu7EfDd9cDlErZ45PzSU3rznHA+ik+8vderlPTwwBfqRRR8
Q5fZMA8ci4l4teuvi8EoAJ6Cxl8lS/ZH1WDkj3WByc9UTsTgSwZloYCo13iMKpXLwJRQEibM0oEF
b2IPZwB1ddHoYUW+LrD2kZ8hSdUZPO98SFAmXFptTL4vE7KoEDyU5LReZhOcfobgrLKaP5ynurjy
TB5UDhR6iEihjKg1ykjnOdHLMbsbU+f66/GCq74edQOk+myXXvg/7J3JctxItm1/5dqdQwZ3OLrB
HbzoSQZDbEJMURMYJUroO0ePr38LIeW7Eisr9XJeVmZVyiyRiEDj8HPO3mt3JbYbwP2oyXMut4r8
9DqMTJLGTQvDl1geQ5zE68u1NXK+Phz6o8MkniWEW6CguFpbJNnRs+L6zW7KeJbB/L4JFeTBHKct
9OUM9wa38+UGWO5wHvH7WM3F3ppYxmBstDg/fYqD5TK3HV3FVnMb4TtsF9NZ8FLFNuF40PnXM+lc
6wKv8iHwLVYvqAjxxB8GkX4LqdUI0eXpoRcar+He+GtZiODa1F1xBI0xnmx8Dd6QfDbCmNYZAvEj
3t6UhjpPRDebxiG0eU7JHhPHiTjEnetwkxUEih5JiODoBcsX1gOwiSwOAiptPCo6rdjmTGPkl4kB
IXNjOYvt02K6Y6Pmlo2+GrCAbS6x8KhhzQNoHSShWciiGAoWt4FLBznL3wedvI9o6OxnsgD2uFZx
U6oe1XnN1w56PsLQQUrhESkPDIv4LwY339cm6cN/vzy0PYZZoHwGBkZoCXTsTawD6h5K87R3iFlg
Z1Qurx34AFM9VrvGibl+JdLOqDaLIz3g8dS5sKKUzalh2kWGAaeY1lCKVXIBMAiuqyqcdMsQlZrR
I3cBsyAYw8wI7gi1Z+5RMvL0gvobs+KVm3fQbZc+MUX2eA0bN94Jrb8Ay7S3hSHCNWTCJ0LpQGoY
0Z0xdCdGcNTWgxdeT/FIJ8bI6EiQ2QvpSKYDFU4xGgCeyCr6lNoZ6lFGVsrZkh/RENsFAeWzTMpx
I6qEgE46VGcbC/mm8YYquQW70l3Hg8kltEwKHIocBgbbxKwTdPJxC+pDOXS2HJGF7g59RI/zK20X
xpKvmy1xHRW5pXVtMOTtXoy2LF8Zfn9RsVkiNLXG9JtXW8ZMOx7fA01hSo5DW+hy5+fp6FcrNvTM
ZhPNM58wm9iEvIo2UnjBrT+Us7HD+jE0J/wSHnYRXzX5Aft2a3ycmLOD9gr77BhAbkRizwyKIA0K
nvhk946ctgSRBwamHbYPkeucf9qK3f2rOPGNfETRxFKoY5CPuIxw/Qvl5yexIHY+OatS08mOJ4gL
c/SNIY7HEuSdO11a3FY8dSrmTv/7475Rynw/rhILJN0zXct8s5/yEQwwSKi6gxguix3PoBUT1zEY
+H6r9NvfH+1XvRFbxOVburgdmF75pr+g8X8WyTAHR+E/F90hm7hBlp2AnwbGNjQa8/v3+k+z/DfN
couaij3zv2+WP8U6jN9QKX/80J81gP1OKoffA1iKzvvPNYBnvYOCpcg/RzW0QP+5jX/UAJb/TtmY
OBCJcROj3v2JSum847dZ3F8sFFJK5x8hr1xhva0BODy2JX4ln8I034pAvZ7AVsaw4uAhCSEYGGnI
suWyeYVMNe9vCyJ48GkqPBKFASNEH0xaMWtloughg7E7WaUDu0+DMrHdQARb7dreXbTEFesluLgs
iCFeMWG4qoP2HPA+Rkra1S8mBgrNwIkT/IFA2eJJtg76kHxAQNJLQ7/aQcHsOiKiRk2j/VKY9ZL2
xmblhf0qf0kuKdetUxpf05G5WGqV+fiV7AffTa7jRg0n5k9bnTcgOcbkhv1F5e3ZDhTnwVIhS3Zo
dOrUtVIshU9pnA1lw8Oco6LfQn2F4FvjvG/yuFYbyrvxJPQIdSCNvE9ZmnkSOVPvcVpgrR/EOITH
pKJ90iEnoP8lrXIbeMNg70RtQuVqIBznc3ETEnOzsr1LO16lH3XSFFtbBLQ4UZWvMzggT1Im00Ne
2iK8Ug2J8GWVV3eAcEyX8JhIXZljbzy3TQbYCRDih4i21iaNk0yt6rnn3YS2EZ6964yEU86sfBVI
v4DA0eCiEXRn1cr3dWwR5WmgCj7r2lMvXQWtZ+VkA9ljofKORKuJ84hxjbOcCs4FmfDi7KfkYzJo
GEjhIzuXGqZaYAStlaFH0CUqh8aycNgy8q9Y95jrAR3Az4dPKILgsTZ0TdD5RREpNOxz5DiIIxn7
c10DvKjOqu4K/t4U5fwMHc+UeOIlEV36M/IDu8X0utSF8dpmH31se7WADqMQPV842v4TGBnyeYo2
QITVGYAitUcyBremEmcpbL5G3qEVH9yym/dj65P6vuSGVyPxznvKFjQ5emzmGx/WAd8zF+UNem9E
Zoma+ULuclKoa4nVbFMmBtdQXvgAg6gRaIAdRbiX90H1nA05gUQhvVscKpO2SJkiexCEv1s68kRX
mPz5pg3M8KqtegRZIWyHV1JkjXVMthEspXH5tVFZ62yfAYKo1yXSgYZ9Az5xMKzekq7Ezoc/e3NL
yxVBGmdQDyP/Zq5d60o5OYx7lDPo6Jq2esbTYqyVUfEl2LWZd17cO8fLER23Q4jVG2gGiQvm3qx7
yflNhjB4GnSKugv1LxMTNch+3mst1Is5TchLVDgiATQRgtZsonrSrUZ9COOEzVuYED2ZWnVUXpHS
yi4EmLtlrWsZ8/tDiw7afsrR2hE16/yBf2kyni6fErp3F/IqY3awtgQa3ZVdOdxlBoqek68zJgoU
KJCtG2fJYYJoVs+P7YCTiLp4uaQS7hHnJEGzdGqRHN1QY5U3ky75Z39acizxXiGkNEoyXNMS3Orq
Ig91h4wVyk2QUKrcFNMurqvsGzQE7sjEMZZ7Siw0j9A2vHxfQntBZyrysVszYRkJlkzbYdP6kvn/
7AwP5kUUm0zVM93DDrBB2QnKyqggoQvpcHVsvW6N8ZF8NVsaNX57BIlbxA4wZybduCc8CcFN4k/+
ExcTwgPDVvGQRFM7f9dWt6prMGwh93vsuYv3CfXfbraEhAUY2vdd3DZfEsMS7HR56TxlfjY+eg68
FldqbmypB82X4QQckd4afDsYRTQqSpsA5ZagLmtj+wUqIE4ZDvcR4wk0Kt/9UqMOA7dalJ5FvUid
xKCEEjwMcSpYxXJ+J+aIKJZcVhB6+z0HzIf3sB/UVvWhJPGutQZ0rAG2Q2rI6soagfGVGSXwGqh3
eF+IqnjI+pImRp/SpkcfFkmiWWYX8YmevirK5OtAt/Eh6T3xmtnu/OSF3ejuTJbAY40d+atVjwON
IXu6ImL2oqtFbRsbH3Ri6KdIqmZT1Cme5Mz34v0kwLigOsiOYoT5lmGA3plePm0LxlRf4ylMeQIG
Bp4wZl0aMwkyR7yUgfWMhJaGPipQ0r2RyV91tNlvc7xDG5voVnKLxxYAaRzM7tEO65N2dP7Vtv1I
bWdP99lqnOrpGtOhd8oG4wGSP6EEpi0sJBVe34hjhjuuvp+VFV31JlC23hmJxQFdAYexuh06qGOp
0QV3Ra9ZTSYUILFRdQ/4GvHGERm0bhm8hXuwY9axSnGefQgqq3wiElA/EpxzF9l9/YBMmBzUsBEP
AePGx4JMFiCrY+u9rwliAticVRgpI/NjKAciAgLvPIfS+YM5sNyXo13qvT0UFGhcN1LmYMgsD/5w
GCs/hx8h7xDIwlyDq2IjSY3MIzUDqIegbs17hMIkYDD72CKIFqsmsTSQdyx11ZYoQ4p5JtLDp6Aa
mUJS8tjJjrK/yw8T43xGDkJl2x7Z7tobzfYswVY+x9I30S3GFrDhRGF5NY3qqneI0cQWmnwaeb3f
DFnXnVppflq8yLdVM094gIexogomqPDYOHOy6YmIepx8Q90g3BT3qXDab70a9acJa1X9Mra0Ke5j
RwfkT+s5RV+aYt6u9UciWYJ71D3AFJ00WLEVxMjXIv6lIFz11OfXHVlw77VunW0jLeSYExGBWTuM
x3qOMcXaE9yIuO2f0a8HmzCPnDu/8u33Y4fidZUWzCZWJsjIk2sE6S3KWlls4Ccb94QM2htXdcOW
0+USYeGM15hLi09x14JLLKsPQVcx8TE1YgMoamAgbOTh5rOQ4VUyJM3RmGz1cRhwVfLMTRpVUiO2
gRFFN7RHwveWV3a3nasPXodrOnXRfka0Zlg1y2pUxyEiOqDHqbDGuU6iS1jJDuPyZJwY2IP8i6Nj
PnjlQWbijwCbCvEvDk5jWSowKO3i9cckKiqIK42s1DYamSqGlg97KlS1A+SXV/gO8x0xQqB5rHuk
7M6dBwDpsdQoO1e66Eu+T4QsdB53htv2t6WGXgEB6oNj1vhK6fNuhDUSX19gRPbbPH8EnNjTaGb7
saP1Em8gvCYN/dQl+q91aBFAuojucgamO+TT09nUur+ZGmvJ9eQHeycsb1mB+kM8NnGzaXP/3mrN
fl8VHfrZVqrqxsrn+iGyczzjBMUM6IeLOFpFQymuOwJJ7kGk0fAInCtiJb1jmYbTB7PJAuCUefcU
ddFHmFTgAWwK7lU49uGHHoYb5vERJFjdWNcOI9LDaIL5UsTq7JzO4ToQCkkWT56bAO48tyPRZUoj
wmhBRsKlHm0y3AmHZuMVIXeo3TzbV4PynuDYGHQZR/0YJKW7Q2gQJFteh8PBS5p4U2egviBwrEwU
CcRCO/inocaDlKdHcVOqSVkovqbuZtQKR7aUo7XjZ8ZbF2yqR2qG3b8mded885hFb+PUsedD5LfZ
l8p16wNyCLSiy9aqyhuyrvqpXs1Y3Mt1lifOFsxJBbOmB6/Xed3tUAm5CaasXU89gbApWRs3SG36
09x4lfWB91t62xaZRToVrdr8jtGetW5Su3zo8jF0HmgPWPPaNvwFF5ewLSgG9TkV0gx3gCOghCDI
Qa7niPR9yEuWLsZ4BJ3RbGGkEqOVNB6WZLYBt4TZErNVoKj8CMMFntVsYX8PCOQKl2SuORgS1OTE
dSFgmY52Q7O5LiIkLz4tGTqaNvb8MmtvRlFPe++S/2W3zTka8mvEDTeVh36p9mVNCFrZfCHB1Nz3
ba2vRW8Hex16T2zUhp3b6A2zDnWf9EsImd2nKSD8MQ+z6yaaB7GL/Xkm4vYSYFYibExWuXTmh84y
q89jmhN2xpKXwQsGEbyyCsAphYV6JYUcC3YReNqd4U/zeyOadQx/CXHoZyzO56qbitSFK9WpQO4J
GbCQXI0o0SPLfShF9kdlZWN0gyLTDY5WYb60g1/djjYbOVKO6u4qJTiH65xMqBzSJIJAIJVt/hHn
/EkPQPOL4A7Jdr2zYya15HlDSPtjjkC7Kkt7oXsXyqq+4+131ea8QYfDT5X8XzSR3jZzsPEwaPNR
kzlKKOUsTaafmkjkrMDpDdnXInRUV4NFJWrHkTzPk9u8+lr8znZqv+3n+DidhIdzD+eTYqvwxtRF
VstEAl9THgqSco5wbSvSYyZgRkabRxtZdl+If1DqFPZeZzFwcgCaoeE3ovwWfF3Gyrekvjt1ofT7
XPfilCOMrq61FP5TH+FF6dOSDSDt7IBtG4OyVyJOLJ+CXrXzo0TRrLf1mOpD3HXVcwtF7KW0+6F9
bEjhbnZzK8QARAZfmvo0U0+kkARGCrYwsC32+iG1SMqKcUZDXD0PSDhfuWWKb97cF4+WH7Kjb+uF
E+VIs3o2czUSREdtZCxrp0mBJYzgfiaXoNn5hIpiG1mszBN/URNdWglnryOBu6URXvl8qYVzp/6d
zZjuzi/iQXxu+LHp1MAVRqv4Nn8+ZYccOA2UGpupBJVmDMIasj5hML+xLr5tUV4ORKgI2wCFV/rt
3eVpKrg640CIDbjElYcxpC1qrg/PnnppYqaW1IYjRcjMW/b57+/tfz26h38EkSTgdJgn/+KvMybh
AvUBBJlU8uwMg7eJ68WCVeAgIEeRozqtSxFgDDll298fXPzq2rSVj5fm4nnHT8j8+e13HxLbCMpA
lwemaPz2fgg7deumtTwj6KZsVkSH8a/VVN60oE+hAeuiW7iBoZstdihxvnyg/7Q3f9PepHJeWuP/
vr15+jr81+3XMf5S/qxx+PFjPxqcwrTemebS4mRg5TgKBP+fIgfalkgZLMrIPwNX/7fBCRgBmyT6
Bu6BhYvAg/hD5GCJd5gOIWpZVJWm5PH4JyIH+80Tja6Yw9NepZ8qGPyoN13yOlEZnfIiOUJ/i6cX
Bf0DDDvOHLU1I9izPsMbDcjxEFtlkxtXSxgGlCnK3uJQDrG5d4wGVZkVdrSwTKgs4wX6OKL2+UqP
BiwyPXo91wd4VxdEZJoNk3o0ePcu+Mi+Y8vavGZugXTIBLLs2tt0Bn/kvzdjo3Xv8XX1wtpW8Fuq
6dEiNbRdO0Pfms8ZpSfDP5Zaumo6KvEHXcfeopTzXGMlIWtOWJEY6KdjxKSzqCvvMZJYKAgKgkph
MmSDcjYjXS3YVp1xkDhi6yXs0HnJ1rgzuz1R4Z7EzWIiY7iJRZx2UEnrL/Cp9M6tq+nOllmBkGoa
4Mx4zmTMn6oCecLtfx7A/x+RERsMxeL47x/AP14QqxdhW/5KJvn+Y38+gMJ5xy4FRjHcCIRBiyD+
h8pISLT6P6RHP2nxeSrR/LAM80Nqse//v2dP2e94UASP8oJEYNvzjwRGv25oFN0lB4SUYEkQJkOM
ty/TuZxrcn86Bx1HlhPCF4/dvcYb52BErJtPP52Yv9iu/fpKuxzM95cVAyQJavu3u6fQRiaAj07h
IKH3VqhSnqcWB913y9tlz0EqhnohpvJ3xv+/PDTTPtPzeNY5qb/uFGMjFZjPhbqffdrVha/pvffT
4I5b6i9xtuAw4UA1NT3vJiD76jfv0183qss3d6ViRgQ1BDaKeHt4iQi58Mn+uc9yWBlrz6BIQJzV
sfeLmdIS8Lv0W//+bMtf3+E/DsqtogAl43l8O2LFcBR0YYVoy5YF722GsVeScIl658LJeapaAKvk
EHLwTnTs5aK2a1+dBbyQGQ7noUZ2tq9om4+HxtBhsJ1ndj3YOdhz4Ec1xU1fBQAb4rlcrP+VYAc8
YjezfkMa+NUs8v1rXCZfzOd4k719O3gD+urRjdB7ddiV0y6jc54tTXGvYZvB8lvejCkO778/e0zv
ftpl/jiqz+MBToED+29uGDr5bjLaWtwnohdnwLEx6Oki+mYmIxYKMY8PtsIVDlqeucwUMQb6++P/
64PpUmlgIHZMn/vm7bPS+z5e3XQU947hgFNYHhgIlBjJ+99uqN9s9i7flRc5T9ay42T2tzw8P5VR
weS26Oo7cU9I8vhggBlMd31MrAjYe5z1Y6rUC0rX6jk0TcY86H95WC629iQFPvzPv7jFfsACnGET
4PCmxJLKKP3aDMz7rq15SBQu2vIIBJBRSVykv8PZ/NVDQqb88lzyH/dfmCxoOnjHW728v/AD4Kgy
qLmMTjrXLG/IpKBzvpBT6jrmLvezmZqt98FEkAVg4K1N5vLGcPrxIWTAEm5TUzL3ShdzRMuwNIp6
nPfFlPCUweMbh2ufDKxs9/en7MIc+plew/LiYi1UJtlPls8d++sFTADydB55NvdBkDBIxI6oD5f7
Zmzz6nnxha8z1CrPxcQJxKnpb0OsrfG6wTh5qKac/XucKkQ28zBjNxeB2bx62vwdOukvVsFlG0lB
Q+FGn+DNxzTAE/b4t8S9PbuckMtpRi5dPQszEOc6078rFeXbp4jcNe5q3rnmgsBiVv/riclbTN9m
OjX3A631G+aT9kvgM6pGg8RsqTPhHWjLYeIUxAGlNVraCOkoyROPcZdS91jF1L5aZT/eEbq2gI54
CGKL+ata7onLKWp4azhEpUX+sVkgHhOcsaNhxGTiQOw7Ydb8Hcfke4n78/XmZU3VjyZAKAnU5K0g
YPZS36UWDO9LfmrtVySNbxLXSN7XVgY6FDwApjncLiDp8Z9nTDn6PIh2fsT8D82vaZkgDyoEbYkk
sCNv3V0/h0Z7iJymE8wKQkDERmDT3SXtiR6kGQ3GBzjBYbsx3bLUTCQmkvmQLdBHRbPMk5E0Q8dm
NnJweCw5LsqrivuuaCPEh3lylLlXnvqEYQzxUNokhkSSci0mN30vyin7YqaN2BCohHmaJv1Mvt7Y
R68EJk/OdTtFxSZueX9fI3pAd1nDvLqrca/mREAgXF0peAwb20WvTI/bNaqnrsiSYWMFrvtIzHlE
lGxCSDr9bLqRkDFDDb7Q8emiO630PoNtAbOM/adND/M4t5gMuk7pK1lPMQ0z2gNHGXbUu1WP/s/x
/UfsRkgJXGZm+t4YLAFp2waTQdqExFuRR2FV3bkhBI716Kso2HgJ3JEQWMZThe7yxqVNiSSsJMKL
7Hgyrdga+FtXtMxpERbYL+T2sE0oPFYbtoCL3qLiLUA0OD9GbwteSGBhnfYaSLarkQY5jrgUwwNv
ZgGIEjF10ZludW2FuCJvHausj8aInm0XTmWOk66KR++KQLHo1Kd++wXEhsPAUUJQMONEb3wrD09a
Kr3TPjzRmubGYJrzR9F48bUklWADAQX8KGo1+i/M5pGGBzvQlOWn3G/sj+UCvqidKnrlRhm/hl2Q
LLqNsNiYHZdnHZGxTne0sjc5Hro1Nxahv0zkinEkR8cwppVXtq+qxl0x2nFYnQ3bi9ObHsVkqq6L
IvPzs9sHpelzA2RgbDa5m3souNoJIz+kXGX7geR/hRykjR5RxYaIVjEh106+8VLhVx+NiMkTHzdN
wEAy6su9nWEumx/cjw+EgnCmC6Mvb8zQYzPECg7IxxsYrzaIMAC8hAEmL6Phil3wEXCFGUP3rr/M
rJfxdTxxVyKhx6qKvLHmd4Bhr5593XBlHTFzUZlvQMAytbcZfGSvi1ydS5/2LNmxIgDFRT1AYeeo
l4CRJXpHk/1qm0F0ShbsHf5F/4k+PmQdWq5XzBZYeFDdHl2VA1vSEYBxIpTRAuR4xDG11YvCgoqj
vGFbFzx1Tk/40JSXN2mRynNtLloRsmFobLY96zPLGdOETPl5iF+m5d+EM4z4Vb9ghL6P8tHoMtz3
YLC8aMmbmjRwSvQVXcDkBCiXJYbGlncM69w/+m45PsC546UeG6yolzWSPZx3DGxeopfpPqSa5rX2
l1N5EYU0TccfL5+W2SLza6uGpFGy7cSbZsfTXX3Zi6SZQweSKTkKh5Cuakcj9HRpTk2LFoZkF397
Ue10MeWGlQGkSgLJ67kFSrKZlt3jJDn3Il+EHTySHCmN+uaV7LyRwT5/6vVEdxQNCfqeFIKRl/EW
JawYslDG27b2w/oZRge73zFupofLRmFO62K6BmvvvMiFXZQ0ELmIf/MZq3rJK1U+s+kYA8hVWS/I
34hH2ikD89SQc1YeuY24dsy82LyXNS+ehmbrwid5MBOTTXhZ1v72Qv8AycfbHKYSuKhAgpxyiDEO
0Ilh5b8iV5tPTkAfO6iyHCZmmYamx3vZ4GCWZSI8o2/5XvxYi2pkSnyI6Jk9kTeviFxK4A469P8G
e0IUktvqJXKtRSQyaz5gJUfayp5RgBiABRx8zmh3A525PEIisBPkK6NetkG8edqNHu49NdBuWfiQ
VBAemzv+0SfGTm8LhbNrUy6lShrl8V5MKHpYBqwrhyt9KhrLveLrlDfk6TgPROKQ4mREGZ+WMbo+
MNeH/rjcnheykkkGDqFMquM3E2Q03imkJ91thSozAhYcUAMKp+Cu7WgEWVs6znyYwOYG/s4jawVQ
kLGP3XOSeuQJtLUZ72mMcY9cWsJRPnBOR3DJlAALQybNLEh6ccFZydLYPzoTbXcIdzxwznL4HIvC
+iLryVpRPScL4+xCA2W7Xx/qwOKqxhLNK7Fwy3kY2IL6RRw8EW073o1T6LzoheyVmgukCFgaDKnQ
5onXuuGTXO5ExUicxI+YJcAWoKe24qLkUmEdNnf+GMgBys5ygZJasTTJMqgPuWb+EJNzg3mGchRZ
stOyKZIexLCVHML8Eawcqr6F5imR2MB9TChDAHIJtHrMfVaWxJG8Yp334WDF/qJoqnjQa0b3d5dv
yJuIPXJD0CRCNIBxl4J3HgwQdYx3znhdgcSxdJurgZL23NX8S2g9XBbE7+PdDFos+75jvLw2J3pg
w6bKDCRi3kVGZVf+sZCegQtc5hvddVQyy1nTVT/6hPeKbN7o5eNEDt8ijQP1UnUtz2uxCBhRCPBY
zRM5i64148hHIY62vQlZjuKUh0uqpdsfNfh8VxG3fMcNDkIwigPH2g6guQ4TNvt8a/tdZj+MeoD5
ztASbZqhIXv9kIzFKN+KkQEMEgl1ldYlwY++7w0ZkZEOP53hJKofhSkHduxByomel/sqTi5r3ygT
Y1+GgkWerUi4lOQg9GdcPdwT83ICvq9FS+HeL4zMy8KKaZU3zuXeBXfOa21sK30Y0V1/1ryG7i/3
pyJQYo9/vtvTpFTpLQ4jbhHP7FBc2Wl/HYWT9n7cEAQHed8wAKUMb3W/AM4KH2l/Zb+EDr2Uy13h
jOkya5KBQGBQ8CDXhTgl9tJtgENFxDVTXIE/w77ICcFfrt1a0oTQ5CbPK8BYVFWXuQac/Gyt1cD/
N7ER0htqT3ESiq/ALSfOAHXLYYO4nicLCzNvGKSgxLRU3DRYUVjtrVi8t10533+H9JmGoFeLikof
LiugSlvmGWXgcrKJTFhe323CWbII9qEZxAuIqNAQXsG66uGIEYKh+2BXG4gbsNwtnzbpWh4zq544
LjGa40OO3xyEE6Xak4/M/ym0gV6vuqkHdT5I1RobvGJkv2v2QvNjL7CIHtquL6L3AslHeUUvGHSt
CeKIorFdBIgxrPKNCYhGn1u7YxMSGqn/BJkH+kw1Lt/X9Yc7RVrFY+eN+Xtp2XSIA2OdEh9xsLOa
hD7Nyj6kYfItJJht5SLyWlkEjqaQ5rDZWvTMH5K44o00xWR/tLQ8fXYok/MEipDzHFdc0NImynZv
dIm1Mwtv6ldhXSI06cf8Kq5wQ1iqEWLNWzO/orIfD4tcbFozgy8IxANh448Z+wVHgs6BvMwdphtJ
VBv02ta8rpfF/xoHNo1IH5XOKe9USQUDzurqAvYDos6lqzOUbY9hIrk8OHv479oXnKQLbJIO4ECy
4aAPFnKyDLUke5x82dJdKIxp2LLDW0BcXY1G8FIop4z4bgbL51H1o5pZoqn5eMjCaDbJciH6BQOf
FOMIvy+IWLdnHIHp15I9Jm8X9D9bVHfWFUK14AkzHXfQpTAMzbCorqFJVix5LWta6YzIBumnMa9G
rnuMfdBEQ+WL00UcK4y2eZUzJgiivZj+cjuRFe5I3p/AtLhb85DVaibc7Yx3keigZd30k5TFEd26
tZ0Wmib6HRb1Cy8w1x6w/ADNznkYVfWckqy3KlvWPY0i9NRm3DxxQLqNUdo7Z4kAxutCiNea2i46
SFDwX1XvmM0N8QY8ca2BtNgG6nY0vu8w6vKmW2SpOXkrCgwI+ucrCrYRghf1Dda2Tu/Ltul22UKF
pVZByWumEMwgddOys31WJfo8nBIXDiGnNpBUEpeBscOY/RzRsd5c1LKL7/2k55CX0fcts23m3xyE
Hyu6ZLm5C9Pc9bbO1ModR47Oke7GD2PkzMcIitYHNEYgPHhCWJ2pduYdL8SOLBcnJztqUpVxt7B/
R5JI/MLbWtoaDxIl6ZeusuzXxO/mr+QO9eT9jg3b7QExBvsqeSOqxjwKNmX7jObKR5wCjiakBaLT
qq6LpN7W5Vhf2ygoT7GLFTFMnPiPvGrDR4c9PrjBPJs2aWOb+8mzp5NvVcGHCOPWl7Ke+E12YcYN
O+XCD+/mwqBiZcI9iMUMho1M+73zfeD8nxHrb0asSy/lp37b5qV9+a/vzPrTS/71f/77/2Qvn1/y
l5/Hq99/5Mdwx1PvaB0yiHEEJIxfpque9065QtKnIQKYLvzSWf3TPmIz4XFpD9NzVZigfkpMt8x3
EoUJvHiHgRGNnn804XkzXFVLgYUZEm2UtCT93TfN3QScDCZCZRx8wwC1woo+HzqMYOefzslfzHZ+
7bQhGOAwC1yXeZJFuuhbzPMsGmyoc2+gsFZsr0qSK6zO9N7nsEDyfzRNuRzLF2TiKkkTzKHl+WtX
j2uR4JGzgsMkSma0ju5vIQtZ1+Sw409xCDn7zQGZ0PAr/7fjthwSGYRDE5FesUD8s8xafmqRk4Ni
18LVwSEG4UGngtfeEfca4tnSoGNDZggNHrjpltyZmOoQaLPw45DEw1vsaxsGh933asApzGaoWpZz
Hw0Hkb6+JshzjDUO7MbfE//j7wdEXKyDk1wXgK2uwfHm9xhafOYyuv1AX7kAkYPX3Ajy+BRMbXwi
N8MuNlZYRPupNnkXh820reEC3ktDzV/R6sxPUar0k1uFt2Y3QQVyMzLTq8w8zNJKb+FKO946Sqzu
XjZd/m225vL9bA3JB0lDaFWYQbbDNlos6Nd+jUhywHYagB2Za7n3elCCup6GrYjGapW1gFToZZUn
XXkDHYHUejGz0DhkzlBvZo0KrJ4yF0nb6AfkzBuy/NJQUxydGbYURW/UrdjcE92iPbUzG0l6SQoE
ETJOpBG8rAgOCofm2UefNTXHqKiSnVsA9gSyxH2+pi9oVrQ58uJzp+m4sHf2/kiAeDz4oemTvmY2
/mtCSBwB8/6CCljSbglJTWJetGzRaJF4VvQ5jdDmr+NCZe+RE9NSc1RYHt1u6G6mrhievAmldBrE
eiNlxr2XkJOzUvgr3scW8ssxNkkWZE8VYa1HEGXq59wt+12JGnqHo4sG2Uh01avO82gfFdGXCZ3P
JoQnDrrLA0EkZjuCTMbJiShRb2vGs38oSxr3CPnnozkHOBcZgKVXTtGbxmIwIgTdKI1HRWggaa6m
OvRD0WytKU6PgKe7V6qvFhHlQqmaw9kpEPvH/jWnoEHK7XypWzBVYtAn6nSqWjd7pfAiwyZVN4FB
9g4dsQ8+e3du0irbGwQvrWYjH9cNjnGQhspck1np0CpobxDyIzYd23BaO6aXvEDcD/jL7icr6KxN
xOtzO5LM+BAMmYTr1tzZ4wBFx/Ncxa3N0zMSR3PLLkhuGb99HXPX2IGuaW9TWcyf27Gc1lxZ+3M1
pul7+DNyk85t+1ATBo+7yHuoaz/edvb80ei0dZJzJLd0lZsToTzzFprm8AgQrFuHwu+JLFX3BVGo
LgRbeYhTbwCN2oZ9NH0hSBf0S9B3XYlbmHx5alsPOheenQRRa5in9pYY0AmeUFaz26COm8arzIfC
TEJuWAPeDgwjnJ/SZqBVvMQzNQO7LKOsN1QDTXJWOvFC0NEiGb1+OLtTSyilaFyoPlOkCaML0hga
Ex0QqhKvKPYkGjrux5EoM4+9TiptEEkDze84MyZv16ADrhX5NK3DpmiYw4c+tfmbVhX34QkCOXF+
Za6L4S50jNCzVpVTNxGQHxqd9PuCwX6WVbQAgEysv4Rk4heQT0k3GKArF5vJqztGXKgI5aNxDTUt
7PRjmgdFXu8hfKfPhl2lj35P50abi5C6zF370Jswm9xgMvQ6sCSR0UPnWNf22OO8HuZ+6BZEkL+3
KcavBxmADANCepA5I1igOROhVWRj0XiIyB9cNXTK2LsFTvA4Td2A5Ja0zxW1ZLVT6dJJA1MHxUEV
7K2WUTGbtOI6HmnWteTJF4SIBSQCGx67/1opdrtu74odBJNyA0Udr18FZrRoTFAGxhShJ4IV9un/
sncmy3Ej2bb9lbI3R5mjB57d9wbRR5DBXhKpCYxUg75zNA7H198FSlklMbOUlfOcpFUWk4wIBODu
55y9154k/6vtjep+7kQEHqkyBiLBRlXeTrbTfFloipe8kTTe5ZZDt0eH5bwZvLhItlKr+hiIIrwu
3NR7LgjMIFetGM1d1Pkl0wP69jhK8B5CI4bPysXoy69WICHbiR5sMEiXeRPMZX2P34AjcIdICz5p
nWNZx6G1ed3H/z4F/tkpEADBDyee358CJTqGN8zN11/5TeKzCOkcpHSLVxct8nIo+U3iY3JC5HjI
LHIBAiEn+PcpcNHY8VtBAGRo+Qnv4UeNHRkz/LnAdEPyF/7//3ya/m/8pf5+Guve/Ps/iM+8qdOq
7/7f/7Gsn/UMLt5zTjDQtYnlMXl7b9OHytbvuin3FBVLQwEMT0D1ZQHcxPVqcUH+6yIyy75JznIL
JJj40L+q0YCio0wjFbhHpoZiAc1aITMJeYRH51XQlnoEDXr9eiCzlqlYQ7VZQRFS9JhZZjXwZ6WM
ZA1F3irHoxyKshu71dwzHWzOVaGzikcpZTsLmRleulE2nThUjeJIVKE+axjhD5ndNidiUR+Nrh73
CnBQvBa09UI3ay6zkrENGESeCtdlkJF4WO7XKehrwklLWh7U43S5ld3SRCmoI3E8FYzT5qWPLxqL
9YCLOp5TuEZyayU9K5Kkn8yMkK5lsa+msdhPowRx4oZ1evTKuPWvwrAH5QBvkw3RMICfexAxSSrP
xwHABFL4pHTyQxNJtctm6ROSQIecrqGzoOaxoY7XFv7pp15p8055eJoplpnXJl3HTkEbyWJnjfW8
Qm3LcNdtx8deOvp9NNe+t5ZxC9pyAriSryLp8kGdSAzWY0RK2qVyzWLfWZ7cOmY+bunEtth2TIm5
qzYbXEi+2tJSp52Z5sSle6xD78OMuQCN+LDbp5nT9js6nYKxI7f6Bn+lFrfEcG8tlsByb/dFxJzC
nUBvE6K7SrssMzjflqNPnI0ja6Z8DtYebywPbR2hCorHIdhZSqmt6rN6TfTCCGbP6pkDMwVEsGky
VPvqR6l4hpbCIuryNO6Ww9VWVI5+LonUsXahLN39UE/NPbFZyQXJi8VjLTKG9wLoM/SiuD8UYxKL
jSX967LUlOPkhG7RZdLVapICz50wJ3PcxnFBVvkYT9vEl+E1jpuGU43EHN468YmUjclf1XaZ3xPx
AGjETQYOQ5lRH/sos7Ay+DBJsNJ/5GmQI9RqM3yJyhF0t8Zynu/jHp00MSHDUcnS32HcALMcVlF3
HzjjJ6FcYzNqgvqiQAIo5AlIjwRz2/iqsRCF6xjJ3mXpFc4JV1DwtBQV+7FLmHO73YwX3h2hPHXs
j/ami9oH1ynkFSkf8ws82mgztLF+T9++BKrKxrw2DBFCCDPIDRwbo7vW9VRdMQnMOJqTYr8E9qU4
mLo82JDtVL/zYgLelRFW4ELS+EPPwRMwWB8Vd7nTWGtYoQ0Wl3Lf1wH3oR/h43OdXNy6STusdT/Z
4a6uHIsunAtr4KLBqc+orm+uZRmFu84TxZfKzDVjka5mestwaaRHusLc9wkpjrOh06rWjHudA+HV
4bp2rOdJ6Q/EFbtrEjnCaROOKCvAG9ku3yN4f3A2g3ejSAHABLnKXcAu8lsB+Peu+Ce7omUzDv7V
tnj1ZXz+/FNv5Puv/LYtsvfR4KCbQfH7qjP997Zoocb5AagHjcUH28Z0h04J29dv++DSKKG5gHRz
6ROiEP8rGyHNl58reYSuiNk9Nkibgt7CSvJzJY/8dBor2dhnf1n3NNOmo7ZNQxKkDbSII1/bbqam
PnkmUHmQ9S0KGUq7rQIMth8QP7JDLUutm8z5Ve0XrETtNNrOGqfT5G6GZZGGHcpyvSzclEAz86Jl
NQ/HgJW9WRb56XW9J4rVxOLV1U/Vsh3MOOwmyuFll8hfdwyWJLVLl23ElxkD29e9xV+2GQ8Va00e
cEZobRzXTkYkKQMPR2vf2yVToOIDkWrzQIBrJl6yoej0qtB5/rn1jfaa1IGxROZUTtdRVHd4DBEz
ABBqiOVZwcHP/WOtpTPvZhNk6h4vMT+1O7exTuBFGLonbquPsVG52YZldjJOAW+QgB6UsyVyEeQG
t1bQ1Lehk8V38PXG63Z5UDO/6DcqKQNiI5Z9PFPSP5QhiUUAHOo5xqfJgVcGBLFsDCYkHA/s3HoH
2qz3Z7KsI1H37SEy3XTYl5EV2/4+wKsW73xJbL3YTBm1jVjTj56ubMKwK3Pd69GA0mHWA6KXuE0I
HuesXoEPTwM26elD1xS0x6iT8LwhBTNJZHNJZJ6ucpjFWB7LIpUhgMVYlrsmaOhKDBDXPXIyjCSL
riNTGzuUKGbHotWB2OJiDuRqXHbCGIG6Urn59UF0iqXQkkkRbUALjsuN489ojTJ33hlTpohaJZqo
GE99j7FLXJm6zHqb9FFOA2ouVzl95858jKPEsuanKQWkJT/3qsUlS09+novo9u8y4L+R+6MNZ0H4
z2r/NaAK+fz5J7PNt9/5bcETsEEJGaV7y91i4x3794L36rXx8OEsgtNXiv6/1j/zn4KlCpnxNzH+
j3UA1oHQtEJ06y562IUz9Obg/6tC4FUt/UMjUwQ+XRQCAHxUS7Q13wr+RZk05I/PxgVbeptBZmT8
rIdHDshOJU+ZKP20ZagVBEm29/EBpO6lHRal2sYl5ZDfgwZmZBKfeDaC3D5XsD+EhwiDkBaBlTag
iCbaIs/6KdrnMI7TFLqCGkHuzPy/0XCIgOCEzjuBbbGdOekO5YA3xvxulVGLbyZZHDQgdAPcNLbv
oACCWbD4bKjdR/FkvRpw6m9unKzlSIR2w4mVfxsk04BrJ03hHvahw3gOrp0BmGaomOIWg5yRlvma
rso6dus2+G6b+/uY8CfHBBjiFrL9//zYfEBWiEnmxxnK99/512PDOcElrtKjCKZC9amR/1U+83As
gxI27OBbmMVvpwaOBmghbIoKn/L6lc71/dSwYHi5yRnUcAYXcA2sv/TUvDkzkKhI4x8TJm4dTDnL
kejH7n80KDN1o1ZdDSVd1ILU6JcfrsYfTE9+9ji4mC1/foE3hxI52aBOJ14goJxJgnI1hM/peJWG
VJF/Ymx4dQ78tAIwhsJQhAqCqcbvVdja7MzCJdgNR3KBrAf7+/dnGCNg3rofu2yKg09JHQU9ctAG
1P7MqugiazohHG7j8jOC0MCPr7GEJrQv9pGMlxlmNXxJiWhLy0vOQB1wDuE187HowiySD0Em9AV+
2jp60FSXRJK6p45k9JusralBdBa1VQ9gk/0zsKUL4Z8WuSImYLRDOBV0zZL8HqN9PKLZdSqE1hBj
g7Jf0SKwMAsO1kniVH2nsYZcFFE74IjDa692JVk9dnnh95xVXJLPr+Aiu+qjUdNSzQ2iF6htLLlm
VOfY144BLvYi68PEuFegipxqa49xFCJZ7b8taZz3WN/+3mv/m73W5klnGvmLVeNL1//jD/l9337z
+9rhk04DY88LbdN0l7wb/uj3tSOw/um57J3MZl+Lj2Vf/W3xEP/0ljx4n+0QVp+3rDi/lRz+P+mU
kXPsExTqWCjB/8ri4QXL8vDDE4d53GP2y+7o03rjXb55umPtwK/KiLcjy3m4qIMKDVllNd2FzfBh
UzgLqS0fmBpBCoBqFuNCTad0UyxoD/LEiDuLogF4aB/Ke0TcdLXsAr1e0Bd77LFIlV5pIeB+2t3w
yhCZFpwIPjaiQIZsiBaShgNxhB5h4YK0dr3NGMKLdhc4SRuhqA7yAUCcjiWzgyB+Z1bElq1GVy7M
/uwxVOo9HRqoJ07U6XdzP+KRYdaxS0dDbPqFk0KAoXnCI0n/elo4KiipQKrMRgSrX7cpKLiZ1pMU
PvSV2rhNoyZj6sTJ9yBhBJ1npavVtJBbZgnDJVtoLlGj7R24reTGCjuvXYXz8smBjHVbbGwpCbFw
YTg0QXpJlC7v48R1d2AAG/Af/NgXUGUQBr2rQe+s4gDiTODoXTACJTFaUW9iODv0UVKnv88pTW44
xNu30SvCpvYWnE2tBz5xAXh1Ew5RuAr80dla6GlWHoyjDe85pyoC3+PUIWEvhu/DlLI/DHneHPCD
IMOGrGMOyXUMXwEdkxYOeSNjYq0dVzn0feLZuewN5GT45r2e3tncky/bH0JV9e+cjhxQhPqzuTVG
Vign06B/ZFe5fB/ucDkH1qEHEESID1XnwgzKo/59VGlxCpV8p3MibkItqo+Lc/pkJo2/KnWQbMhQ
3MZm726KLI7vOoeT0YbltDgHWdleFa8IIw58ib9qytpjke+8m9w2oo2R+ONTJCPrVrNmb93Ymy71
3HzpX0FJ5J1626hNEatAKzpNCHpkRkARze3pslhoS+Bl6U5VECRMu3+Mu7oCGOjnx+QV1KReoU3T
K8BJxnH3Uah2+JpmIw64snEvsri173NvqXTdaoDU0rXeuh9LLplqSnkeFmTU5AxXRmMRHKnEF+LJ
P/pK1d26dKv2OC7EqWJhTzF8JtCklJreGp6MB7IL63U2RgVgjgh01YzUvDyIV6RV5NVVQdScUh/B
GELWNjW9tW1ntB0T0YWLNfMtbzkYl1t0v6PALL7MhReWVtPS219Ppo5uR1BbtGWf5i58EpKuJ6oP
MJyibA4hwGSS/3ygM3T5uGOABXkfXEhepKV8Eegy9YrCudnKBfjlFgjarpPCwS0AHm2dJZ51iFlz
7vgLEDHtLrnq2vSCZow6TiaeFsRKToLaKCa44kzwJMixIJpkTDuheSpfkWRyoZNJ0e2yhVc2LuQy
uTDM9LjQzBau2QDgDH5QcszzGeiZNVtBeRgiswzh/ejsAvxSRkndQZRcTQCpz51rR1vfrpMjUmNz
2zY9k2TfMDZm4wUfHFlqd9XPFxjVwWST90mtgK4q8iwGvRG6wlBotaNXjudgKvJHchCZAmatughS
HztFX64W7ykqs86hdpaZe4sbKMein0NhpMWwDuDvM88o21OW2/Ompqzej04Hl98s47MaXcUVgF+O
7Uy4Rxe25JnJvPFexQC7iotB5PGmhMePSyOuUSgadrnLmgtPT48WCJ1NjXLxSMrKvHX5ry4KV9Rn
s7BbfH4OkVCrtm4tPEkDJd0x90bQT75sb+1Q2g+BGyRrz0MSlrhmota6mfU+grfhr8Miz59mNGeI
I3xFCoAJrVqO8EzpoibjkEwrTspyh41iiSgcr4jj1V+Rr4/81Pd3iRs7RAulzQCKlLDKyGuJYwXE
vkq8ytzUlhiOUakLvAORvEyL4SMbi7dTfTEeqrlVPKVRbcyrvlHKwzaS9p+sit1my9Cgu3SWDu4Y
m/cxnrSDbZQACXAZrWUVZPvCp/cDf+jQNchcTTbYLUlPJPvgojlY9GWOQvsm9O88OXrKmbaL8/bC
6xX47Voyu26EdTnQGbyYKj/FIVHcRd6s134X+3vVhF3ApCP9CiBiqPFABVD+GtZeRUAufiWrpaFs
lohxAbdvxGTfSLNeG/Vk6bXLI3pOmhgdngBtmxeNsQbLEG5cKzVPum+jnRrai6ksW1p9U/cZbN60
jok2xJdVQIO08SbNHHaPcg5fgrAvj7ErP2P5GLZDrl7KEuC3wKqwHQa2G1OSYyu7+DAoQI1lFFyN
ZnTXd5V9ZZcWE7dhdG+Vk5Y7aXRXsc7uBtEZtyrJbhBFBKdoci2exuIq9st5N3l5yNZIy04Qnd15
O3cGJuXkYVzBkRp6tNGTfufkGCEYqyvnrh3S2Dvh6NDDWXcirrfAWU25stLJBgUr7CXP1VE18HMP
g5kgwSJs5vsyFaHxqDpr0psUPuS8SV3CMxAhV8yuptwsCmfrwxfSh9aM7/O89rPNPM4cZbq8cPCR
4TNYA8UlpCHD4rASJjxFXZuTuxLD3F5btWUkG0jl8we7GaYPZS1Ig6AEuBjaqtu32lCEXpf+RKKO
RnEuvFyx9JO2t8MK2B90KWYMhqyYQW54z5qwMUSdQ3YCvjjAC7f88i6Yh/RUipIoA9vdEgSjmDIF
8efWGox91yv3ptNBu1NBa+5s2ZN7UFYsrzlmA0kwFZ7yRMTxe0dHjMkyqgvZoFZniGg7h1TOzrgR
szusFAN4tWJ3mxHUOo19IZuhTLbUEc3C09cDaRDsXGLnduxtq0AnAZNCfwD+Sqr6SXdmFW/moBuH
4yuQjWw742i0rcfBj94yQXeUbtemazBUJWq2TRmIYfWpgxCfZ2IPHtqTVjx1ZPmaND1FRuNDtne4
dqiYQk+n6xoc1L5LIxRN2NsPM8IseHT5NAoAJwh+Vr7U/QfmKwRqdSHTpiwo3VXBl/842ymZVp3L
mC8a2lXKnBY7HlEk/D6Doq62RzCyhhpXRtrFW3syyitHL+phTkBtsS49C2th6ogPUUSaR0y7KVnH
gx0gS9ZUbtwuvVinsu8fWbznrc1FugBe/OL4RMhrQnDI7OK81cKShX+0CgE6080ZMr2Sg2ut+x5i
1trxkvK6ajuAhqR8D9veTc6Nq5pdqMr+Ug0+c02CjomLRlF12xVyyLcdpqA9SQNyG/KlnYKhA01X
MF/8PEVB8jHkzP2OuB3/InKSCs+sHn3auBzNNjD94/Bc0sBYW9p/7Eu7+6AjBste7Dq7wiAT3SL+
+ShRGck141DvySZqgcS9AJ9CisudvcQKz0gC9ReLORV2jNR8Zj1NyQ4wTLTbjvc4jnlHYDEjw2hn
oBIJNr0gXJjQEgCBVW/fQayzt66nqlWNcXaLqzEk9aoctmhpRsTso7rSpB3fdYR2Q5RRgPCYh6/q
vEmedaumdmXVtbMz0xq+R2M2sMSssV+XNdG3dtQTM0ZM+c4ahf+ZSny6hAVBvdzOzX2jMOuvWc+z
r3Vvdg9hJYrH2ETWh1ApC0/QyaMTMFJxEk0EYIL79YJWgXdrz71CcUdYuIVjZ2vMrrEyfafZ6so3
OfsLb+u6EbRdwKbIYIqy2imvcfdZYVTHSYCTbMJCPRCQbWPPlNu+aTPmF9iEswUnmOGLv2CRGDc8
gDws/mhxYGHlsyGXr5MFSpgveEL9SirMF2hhveAL81eQYcoZBaFDywEKzGHySjz0X+GHLRjEsa/V
Z++VjdgsmMTRsiAmKgk88e/6/7+p/yF605b7Rf1/Jk+pHmT6Y9vw+y99L/0DRDdAOhzqf/dVPPO9
7g9dAmtDKneQDj9V/KZpesLywbkJWmD/rvi9RYcDQgENNx1DGgZ/peJ3l47DjxW/WHgMQHXIDEDY
Y9Pf+7lhKE0PemIbJ6fZJQZwVRSxN/YrpB+WRhfhjE+CFPQrwwV4mTZ6ibwLjVUbgOZbI0zMtiYB
M/cZEHO9ldaUXyfgR3Pw4lVGdLrcT2Fqn3qSa1a0t5p24wYTYr46wmu+inLl73DnJxdwzGvyCLEd
r2qruGwQFN6QlhfsAY8m+4hs573D1t1z1KG86wDj7+c0kcec+dZ56HS0IXEEvgfyj16uSgVRXxfU
JukA6HDtl1YGWZu1zE4GZnmG1R8AbEZ3Nbo6tWKHmI6DeKFgqJ99cPznObcjIr2ngIAeB8+7WgoL
PHTetSJxIMaKGRYCa3gtjpRMziGXlvFJ1bL96jdpeG1nVXCso1J+iSdEgjRGG/MmZfS/53wm7xzy
BDjq+8JeAX5Gf2ln1hfMVII1EOMS9GO7RdEXe1exqOKLrpkN9J3klK7MpraujLmtjjptH2F7sJMq
y9uTIzC+S5q+ByHQT+WKZV6+EKoeP0ojz8P14Dp65XnA1FcEspGrGVTHQuQ+igry0Y8JBhd/bVmm
fG71pAYchOqDZ3ksUNAJXmAdUOjPab8znTT9NEMFuUyFvGYvcU+57IFCRvN80US0USrX73b+FHTW
Bn62Jr1AD5bkS43zxzCFb7DiKg38NQifO6uzCyAUfkRefenxQSfkH50ZDSi/CD7KXJHsIccusQ9O
8iHvU9ZdVTU2PP0J4HNJTpu5Af6AhjpBGt6tUm7AYwvF9zw4IRE0Qy1sNmoTF1yyoIuKGJz7WnVV
silgnONZI6OGyt0a5BpvWpXS6ehILgWtcZN6hHU5rfYvY1nPGxc6xsqSQXluegNIBEh0NsBSOQbn
Ku2DX6+b+H3kE5q2CofYeYEcTuWbN663pxPLf9WI8jA3MwD80XfiDb01kBulG97GkUbqHRjbJkGx
nuhx40n3Ki3I1ql8Oz8KifZTZQZn0rEbNOeCZLqY596jCg776l1YZ9GjUXqxcYLi3GbbkA3rc4t4
fFglQg1346zqCIZUbj71YRFVcIvbAUZR1X6UGmNRyJ75nEtbjutR9/quQ3IfHBw754wmg7A+pJbm
tFbaE+kTfZJgEIxM+709CgQFInFeBq8VhAw73LRrX87FoYmr4GPmC/+cu5MWRxLRwocZYijlTOZH
5cpJCoqhhtbKLkiq8tmNk/AdKIEXA6fgxmukfTYHT39xG8lGiFOvrsjAiCoigYfOXCPrQ81VFZV8
6n1HYnv0s+YYRHjwSoOIaNyabniZWFO/aXp5CwwiJNKCNuQWhyu2wUA626Bo5nXJmGc1j2SA4TtL
lyAwmHWqb0/ATf0T/FSa83aSBVwHJwPXP7CsSVv7ayNs4OcWTnpnjYa7r1ORTxsjxLO2dXzJ5C9P
iMxwWFFHAKWQT6oyZUzZN8Vil2uvcgcnPPgFu7/D/OZwYf0y+4A0vmV2aIK2Z0WLqIDjqcKQZqjm
4+hrTmiOEXSHVoTEN7lCd9cOcSefatcvJVcpG2/AQ5CHm89JiN0jA0ocOs64M4Kk/egprb60HBqe
ONyaZ5tDN5RQ1ZEdYLt4RRDF2+11osMo3wRWg3AsUdExsQwCs0zR3Md510CkCBVZLBxZyoLy1av8
k4PMYzOCusC2ysRpjNPomOUsm0DMWhLVyoe4cod9J6nZIdJgvu4IavFXRq6rNdJEb9uKaf4823gz
t6NJH6C2h3Ir6mS0cJIF2TU25GIcLhyk64xeHImZ9MNsxEV10D7OcPEYaCjp1iqRtslhfRh0l11H
UwTXkDjpazMjJYN4VXnH+UvcIbuJb1gWp70f5PNxjNV716mqu5ZRMgfXLiIVF4vCe0XkzCOZgAFS
SL9SJ0IF8vfBYnNcdYrHKkib6kYMMKHhyJG2GpfuugdOdBXGBMXUI8l1mStjlm22PLIddXo1WOGw
awO/zWjHluVVFgrerpcbO5rWCRemYH6jstByVqbsvMvW5O3P0P/PrltF80rOfXTvgHtFcJqrB6I4
AgJrxyj5YjMvvq4MZtT73mjrSy10RJxs09wTtecD6C3EpyZt56PS0t1PPVHqE/Ptj7mTTeTctcZ8
iE365Bk9QjAt/YApJxq2ee+yHg2pOV9Y/ewfkzRBFKmym5YRNWp/y76O6qJzWGTz6E7N0bH2MuuM
gTcmpXp2fJ61ob6JZ5+sFK7ng6wn8zJEZnpgufD35GQY13mOkQLqhXJvi3BOPke9kyKwMdCKSoLa
eB3R65OefX1r5VLtSbMIj1Btuvcyqsub0XTHA88Ts30yYCRhMfgn+YrikSpWa9r+WUXvarDD9laR
FIh9ILPpBjKT3SZuKg5ZWzjXA+aAM07a6dixMaZQf4A4hMEnUafhJ7OzyZ+Hud0+pkOR0PGN8mNX
G82+shOS5dKRpYbbL2GTJnLeXS+TXmYOWU7aTq0+wiUnm7g3vSerToNrSxMm0S+pcysVFlYKzEq5
81ZKy6rvKx0+plaFZX5MMPJftF0L6QgPs5XQdFDhU4oo4N7FxNDeeBJa/AGrW0v6m+fl7rrMzFZc
Wh5e7D1+XYKOVjg1CLpj4+fK17h272UbbyZG1MQZJ56/ayDLER5eEauZxep2Nq2aVBrQivRNeyN5
dBvbTZ8tmKDVmpAH4W4lvq+YoaQ3tbN3NjFBjD1u/zwVw4lb1pL5CcE1qNPnNpqfOPtOH/LcqD5l
42S9D/vBfzBJbT0BKntoK19vS7vFhd12zdofRqJFoK94xfzEAvjVSZPnrPeeFjfTC8AWThCOdBmG
uMOTHxrZgd5ccdOaxVY5pXHJl0NCEL2QY5X37VebpFas+01Lva5aO0hX6ZAWB1nr/tZ2CSFdDzTL
2lUjwzh+CLxBbsvZmm8TYhlTRKfKLY3V3yXUf1NCmaEV/NK8elkPaZc+vzUuvP7WbzVUgDvBA/nI
4BSYGHXUv8anIaIMgEmoL4JvWiZ+9H18aoMUtjATUGKhoqTUQtJAsdYnmA/4gwiLKIIsAj2YZPwl
/6r9xsBKxbYYPR3T9dFN/Z7Qh+FSDXVqyiOLtR9s0JqbdyJp53NA7bOr2yxAlNT44qUz/OiBZrc8
atp6J0Om0amTFiE3DHwuGfhX+9whYdUazYIAddqIDwHeho0PTZhUd0HCp4mi8pqO9fAlk6SlTklc
vHeslhDfkmFLzCzjXAvGKZvK8seNbAmDMWPB6tmXrPUoH737gRzmqx+q3j9Qhyzz4R/mx1wB2PYI
Y1/9rsi23syPM05WzPea5jhJc7pBrx/uY5qMa6vvl8/F+/71672ZV7++Hsg8ZLuCApqC+Ofq1TJM
McVMMY+vKa9TXLzEM1mkacQ1+PUrvdG9LK8EB8JEnxNgcbHeulLmARAWyvbiqCJChWkc61WoXWMf
2FF6P1qFs9eoLO9+/aJ/8PGWQD9Cv12oLYiLf/54mbA6VVZdcRy8BMErHkHOHjQNGKNC/NTflqaf
rDg/Wm/+6NWY0wDpQwLAuvnmYmLmVGlVZsXRRPifnyv52tSXproeyMf+9SczF57hmzslxFSOxM+G
sYvM8OePBt2FYOJcpMc2mQqGr0nE2bFty3oTwHpZJTqZrgc5mJcKBMFhLjg6M7Xzur/8mYE7BrD5
Bb52RkNvbtgCB6MuBzs7thwA8H90utt4MT6e0Gsw/f36Q//+HkI7hfADbXgQYFR+w3iUbUiQtvSy
Y2PO823N6GXTGzzBDdlfyVF3Kcofvwrz4E9e9/dfrPvaL4KD7mFDF8u69YMlHJKKYtLSZMdKtSMs
fL5NUs/gtFUpOd+//oxvXmtx1wsHGSjkZFZBEiR+fi3wdcy5kjA9puzxm3ai/btqhNQXsVb2u1+/
1pv19vW1aMxxKYMl5OKtWoWxh2dIg3to1rNiZkgNdWJuPpqbX7/OG0fat9exvSD0WGS4Xa2fP9Pg
FZ0Eu5EeI7Sg2WZSGR/K0dXiuLXd+ySFArSaZI8zdZZNFm0FOS3fqOb/8eF8c+8s78FEWAhDEf0P
jcE3987IATvFNcx7GLt405hjS7+dIugcIc051XFACJNn6z9Zz18v4Q+P6fKysLv54HBZ2EPpNv50
64x0A+s58tNjEkT2B5l55cmzHX3VcKbeS7shuadndslBVk+xv44UbmFin6vps+kVrfzUjGF5yqMq
OsTCKE/AS/nHnBnfROD/8er80ft0+WIQUnI6wJ745vLkDPEVqFbjIGzfe8Fv68j1SGYQXxFmfu9Q
GRmyEp0hfdkatSLxarT0ElATRcchr52LsA+j45QG9lVoeJ2/88akzjZ1EqID+vXd9Pu7doEXg54A
rh0gBnvzVkVYoaIiGf5IUAmG7JzYkhwfb9dvf/06v38SvwVj0OBFzOi/3RtTw+KiGB2OLaLSbkMQ
bPS3UBhdUK+5979+rbfLOfdJQMIJ+QsBnRUgI28+lA46t4PnxnJOWNYmDiIGkEUzrAselV1kEfLa
4I26wKXhPxnEE+6n2u3/5MKa4q1idHkbti18Ou0cCng7b3aVQjYG4FQrOlAvSH30C4vFtA+ZJx/j
oZlvDdsTL6+J6mk60DPRGFPidZrmIMOA7LgXXQw4NaSDcNOPoTWsujZrJCCnfgCslpN3XyTk2idp
a93NhR19HaehALBQzGdwxDAIwlZ69z7BNyc4su7FCBsLH3SprDuXrvU9USTiAKzPBAbh6GEjmpSw
WF/Nt4ylbFQ/VTJel1L0z0WkxQsmlejcGVBzV6QJRl8hh7q4S8sW+UAFkfAwd6ZDG9BPsMvbvlzO
CHXuoFNoLdCHYWR+woprv1O23bSrKRrBK3dT5Hwtxt5RmxIPXLLtgiw5xzZPtgNFbmPKMX0ZEhZv
/Dbu17g2AvAeJcdGIB8CQ4yCBjXsROI5e+UIDkOVjxKBdDBrC0vIfwpaAvHIbFpI0jz9cb7L65CX
bxpp3AYWI78VrUn/aXYiF9dPGJ/95Xc7t+ZtaGzL2zZVnUIbUhgPdMj0mX2meN+C7bh+vbyRp/qt
VSXitiEZND/VM6OwY2TGePUtbANnvHeMGts5yRqUPctqNZj6QvY0X9eIvIyPFYNG0tfFZIp1UZhg
Zpht0CnGzNetpRDJgzOlzocBbYOxtmjD3+Du8StgaPwdRRPk7PVNvOlaP32RAhEcgg80iftwhqa5
wnHt3mcgsN4FJCrCH7e4tqVtpS9FXFo7U9bOMzZZGF08NIWE6FzOtzhjpx7trpxuxNhO10BZceX4
jpl+LLyepYkG1ntzEeZt7eU+LOnpMhgmtIuMW9Brm3lasPbEnM27aiy4l/yyn8+x0gVJ75ReetV3
43xbuoYQCMc45xAtR2eSQPawW5UZzZt1xw22FV3SPIP6FYca1AOe0tzB6hQlBPwMCRWD5xJw7CWI
EFYiRq8SG0V2QhS1DWcD8gkqj2sw++2uz5ibxmquty0o0LU2ankb04s4ikBWF4BRnHWKZ2njWZ04
m3Y1nwY8SHQz3Ogh7v1t7Qz5Mx2//Kx5tXUUuVhlZ3+fp0zVoZ9NCwHYfgoCHrvGKfeCqp6mItgO
YUzzGroefUuvkrtwAr9Ml7jImZQ7dCDSkcEsvFPcsLskaRmVDkl9+l/2zqtJUiTNor+INnD0K0HI
zEgt6wVLUYnWDjj8+j1kd+92l+302LzPW431VFQIcD5x77nY8FgkgEvA4TT5sFX5WKiZuk2S50U4
j5IFQG9FzJatV4QJ5hlJ9nVHwGXA+EqtPllrwwOH6Oo2fXQih7zQvhHorYoNSgl708hq2ud+ie0L
lQMCJKBhfmPBEPSTuz6Z3/1GAHqEaZlppRkC060CsYziqOneS+v0ETmBZkPmpfJ4qg2N+IHY47Qg
W2TGnF7hJWfGZDkP4xhd1BXLH9mIZZtYszolRckBbK01EgiZKyc1zbNc+vbWSIv+pI12zrjZuczd
FmpIYJWZ2/tYzVsR9z9bHZEo+CKWRxWJ28yTYjM7GbVVGzBDYvdysEmwDuoCPWowzmJ5RMVk7tRU
MD+Uo/AvkOK01xRKVhJODucFq6/ikXya+BEp5HQ/489GJ4AYC8/huMzn3MUBHJWMpiAeep9ZyY5K
YYM/Aqgh9zaiij4j5L8jR3W6c6d53prLMGzX58+KqmnGZMOqsbzp8eJtXO604mhpFqWAyGt2TTO1
SO4pnoWV00N9cVOOIgJbY4uVXeDGvntoMlqfgesvLCnzdv6iW/sB2goCskaU170un9xiaUNjwvpg
tQuimbiokflIGDTZzs5EeaE1fb6rstxeZ8Q9orohfpYM2C7MQYUyjdgBToOOfcCb/B9mpnom+pVY
ZX+ckziau+RkttTtgZgY+S9jyYWZUTvQIhTabTF37hbf+AsJujZxpnJ8hSTifeEZzdn1ETIMCMF2
n9XEKGuv2ymbl2FSQVQP1GOVag/NsvhXSmudNUVl3ph13Ww02boHOmj/wLCQXM6GuI2fjfC8LRCF
+dRKvKilpZ997J4Ad5HjWMT7UsJU7n5wC/8WP0PEYpf1Kc1/lliMKTrjQUsBqhiy8E/8qP69sgcW
agBB5Mqttj7Uove3riRhVaGvgrreCqjdXAIOWUPgamN7P7kaCmqU0duJbckjnHyGyrI3AySb2THK
WnHmG0xDkw1aO0bGfrRtLmy/OqPFB29U+uImbgv7YLeuecmwj81Ws9j3EaysEC4NZDx9aXYFGOO3
QfKROGjazdhPhD2CsV0THCPb2ydjJYqgmtBOxX0UP1XI965gh9XXUI4o+33y64OmBzO6nXOttlZt
FcHbCNNe7dxhiFO38YUCEV6HUWQVx5ksxJ+Sdhzl3jTcSvSYHvNrf+w3Wk70Z2AhkN5U9Whf0bE3
e+iBLg2AUZ8KY5bcXfhOp6wsbhrHltcQqtXBBJPjb1LfO5Rq6Y6TV5HEaUTeRd2q6JwNlbe34rF8
z6vWdbY5GaDPVowc33Gy/AtmPcKpxkUEo8G82DZZAYmrb36UvPS2a2swy769iGKNnhnf9MbKJg6B
XjvGzQoX8gxdboBv2SGQqeHCiBB46Siw+cVT5C3iA7d+E6ZDA8jC9s2eaOR4Prv+UL+7RjWesJlq
IbhShXHXXPazzWafkHZ5Y+hj/551OWd2W/DU4BDoIGRuRsttc/sRPEPlEmpJQJ4V6Falki+Ce1rW
MaxVuLElUE9Tal8tbmZCIxtxlSJMf9QIVn+3utR7jQefLWJV+VoRKn3xVpTCTPxtCVarrA6aY80n
ITI/Zus8Ps/SSK/0vGxDDZG+AZ8YFWE65caGKiq+msXshhIw8gaxZ3S0Af2QZ2pJdbCqTD9bU1qE
RT7xzKjFzP6fHGHHobqswYkZWasORjTJE6LEZsCyIGqOs3mJ7z10AvMGyeVwZG/NY8RgOsR1Wfic
Pv2iPbAy1nd+XvO78VDYk8gpT82SDh8NvREdRlKElVbyLbBx/BGhmyrWiZJ+TtwGsacrOnVwdDN6
mm1hvmmi0b6EM0yXkTfHD3a1ZBuj5mUVMDRsF+kYiMHuSFW2UspJ3SdRIH2kMI5wVDh6kOTtnWM+
xfHCdnbheI2KiIuqfNLBRQa6p925I0iQzK0WLE3ezoIQTfaunDcgGspArbm3rpskAQQNnFb02EFl
ktbpq/Q9LwSAN40+ORgSWfOojA8Ebws8JdNPuZj+nl7e2rSd8He54bks6p2T6NnPGSmeiNIedl7s
Y4zGchm6EZczWTnGxWyX+2Ex3paGF07qwduLuc0DfOOI8WSq7luHHYzAWH4mP/ZLa1BwtHi3UbuO
4gSQVt+yn1CntJuLg68zHhBqZLnadMO+SSQKE0lYOT0+Tx0KoZM11Na299N2V06yv9Slyi4Jf9rn
DrpXk4JrQ1PthHJS15Ojw7KylHOwuzbZ6OXo0Zo0YTHANhOUgjfK6HUIdlmz82T/U3bgmhvC6feG
k9ZB2fqs+jV0vHPjXLAPEcESQ62Z+tvB1N5Sx9pBP5mpU/wrhPinUmtfp3JhKRZhlXEemy5CoVsz
MEIMckFA3VfWxk8Ycu9coIEN1fSmyoo3X0+n/YLGPXCl/w6isN+wKBpCXzPsxxp7Oktd8a58g8JK
iznkE3EsnE6GvtB32dBcqMQFPBg7HwTXgPNG0YZGQ6MjiKdheAb196FGqDbZIHatW6QI0v05ftab
PmY32nn5iVhaUg5QGKc1afDGsh3b9EWROssqK7m020fdG4eH1kOjmvTpvWvGycGd/HzTtePwookO
/fw0Ig+ih7kchk47dCpbb3O8KraZui8ONpR9WraOF/bJ1B3T1mE8SjQv7QQBS2pfTwYldNrlVrAY
kNbkaGvdLinVnS0c/xOTPQt6rSGV2MC83Hv6XoxiMi+kV/Z9FrQQim8K5Lm8nmjz7G1m6DwxuDAi
yRZXckW7U85OlKmmlclAzwqYYH2cEOFOPXRwzcHVrsjHctOw1+oMJZHP0NTB1n+Z5H666QYRYSbJ
o68+An0d8K+yYsDEQSMiPBqpUHg1bVHMZT+ENccLc6Z1pzHXQ/QKoFAjyrulx6gFVpd0UVctz7gn
r43ms2bZdMmpq23l3Dr6VabZ6biV5P3eloPLsTSxeSW0Ze1OjFSNP7NFTNeZMxuXupEvOyNmc5jk
U/SKzoshdwws9M7obbl17I5OJF5G/Z1gAMc+y9ViEOC4RLef2E3/3FYjpQN5YPq+MczuSG3PS2tO
pW2TmgYd9We87FwDuL0+OfIHDHMRph3lH2KU5sbulk1ujKBkmjjbLDzyjyLveZD2ZnQyE5uhQE+T
7yHXvfje1Hz/e2NjadsZD9YRtjo7m7wY9+QJlS/f/xffK8Ud4nDnHgW6v3dtYqrRKTVvfSnpwVQn
mBJAgL6eFsoejWaTXc9SOfd+zpeZdgl69ES2u+9BMSgs1ihwlMIhZ25ckKSqB2kKjU7zeYtks+Qn
XFnV3int/rlOJR8gzXhFzpHltmfwckPysfFSDjq/OqIJ3vOkumNnV+omV9S7i5bA2MyH5ayaeZYb
pfO5EP5GD41N29eOSUOGypy1KAwaevthKFzCovMIJkS6MBVheMlhMBh0J3rnh7U12u0xjwji4vrX
F42YiLh5Y/hHPFGeMVH0lgu/w50SGIUv0w3PDpkQLbLUO5lPk3VZtFK/so3JvqizhQ3ZYjO8ipb8
9H3daSmCe7xSGuU/2L6iK1jcEgZAm6RI7ODR0ERfGoQNhiK0WbfFsH4nxcCWzeB/8lsp4BYjXxtD
yo1lNMuZ7PZqX6+jOJRvy9mdo+l6KcizrWsoTw7hn2dp4bYN/HF9wSJz7mNCFrZ+Aru7KWrm+S5m
GWwh+kupr2Ao4pOPbrX+11rybRnOSoQE2zqfR15oiwjbt8N20vSXxLCxjIF49/dpz3WfaJTXhsuc
NfwePBmaiL4WYrUuxoyryVx40Uxp9RujxMoMeZyPj1Ks6gpjik4j6sS3KIEyO0cJt46WcAvDJ2A3
OcnoFDVG/ZZDTTj6LYYhaFDjitLsisi4ozngE1YCXmQQxXFOBRxN1Z50B3FJ39I9S/i8aVDqRX6C
r7qcCZgSd1MuMyot3rjo8+SzXMqGFJqUf1oN/Xgq5BwdJSNXDOMewgCS3jexzkROtvw9vyMzh8P3
fbB7JHBGSushm49K94hlYZm378eOPCPJryNlxM2u2JVGw+wzsaj8vexGuY1hdZ5NRuDnBmbZazfZ
sw2DfDEuilgY15XpRCe7WLH+ks7HDiuOw70O6KIPWIt6WEy5CqaG0ZzdAPnEHGWN0A6RtCPSGLhK
wIa/r+SIN1aRWk0KfcM9XXd2FNZ0pxjPOB99i28qRor3gHwrghPW8IHhYXINdvrMlWc3qM9jsSYW
mOCNNdILQny/tH2ek4w/PYc+mTQGQ730dap+qNFjC9VTkHeMUpt4m1BW8GRsMtiT/VhdJfgNHlJ9
8j6b0Yq+0lr5p9EmaSiIJ55MVjqBD7PdmayAiitg9NvoNXNQEyHCMjsiJGoG3CGA9Xr+ffz8X8LE
vyFMoKMGpPKvreLhz+Jteut+/lUq/vvf+dMkDisC3AkLAu4W+mE83X+axF3E4uQs2ngi0Wx/y8j/
FDn4v+HdFljqTNzbf1eMg/a2WDuSp2zzOEFO/p8oxg0f1cZfN7dsV1hFsSHWyZRZSZC/jPrzbEwy
YyEFZnbm5AVIVLUqNulfsfmVgNLcrpS7pp1vCtRG0wZdG8lRrr9Oj5tdNqZIKKnkjJeICTzHPYFe
tKv69FOxzQs9XpzzBtkuORk3laehARuKHxYyvNBkSrurYsB/s6nH205hIAr4EtNDVNpMXOVUXSol
l6uCiDOoboO+HFAVRdYmArd0cgw9D4c6ApdKmRNIjEgUEE53oVoqVqckWkJTdrafeHMEp3dOc3QX
tIw1LOs72PbWCbUVqtZWe0kJR32I2wrTdauq/QDtYdvEDZRar28Q7JGLU6r+dsTQZWs5HzLikxqJ
uLXEnO98jIUhg24CYOJK4qLNvxC8plOgU86Elb7IrY2beoeao9m1C/86Sshbx1Q88F15lnVrBoMQ
t6nhPYD8PRsRvrtEVfdgalCCTOCiGTnQn3lYn4RXXtZzeUnK3QuObbFZDKkA4sY/iKM7Om09BoVp
3jLN/dGy3AwIzbunC18IYaj0sDGTJMy9ZuB44/hKU5zQrv+gsKNELgCQPHLWt9AGzB8QErfK3LuL
q1+buabtAAxCgu394gl/uvVkoLDem1XB8JZdx84x1hmclAgYyUjol+ZGd6zlEFnaSVpz+1ZbRvcA
4ha/aBoRncHok+GPaG6KyT5E3uKBv5Lt9Twm3YuVew9On9Z7Iu5JcOnn+NKJcneLns84+BTrW5CY
j8XSaG1gmdMjo774ZJU18l43XtnjfjR8aHrbVYS76OathJN9VaYtprVJACkLalQ82yKp7k3NIECl
g+oYitq86wsJKRBhMjY+iF0Rd06QpWMKd0VDTV2q1t+jvUGPFjeGQSE910FGwHggvdGpr4ShhouY
PMMBt45mP7rMBi6s0tF/WHzwsIeYvkE3LNLQ5rusd4bXRQgckVRfTGSkyWOd6UCXbSyUVDr2ghyl
wy/7NfvudKaLMBl+VFa+LdzUBIlaMARGIPj77u+/B/2/OegFvA3Oxn990l/nxVtS/z2P4Y+/9MdR
j2rNAgWCVAzgLUZPn13xnywhHdkaRzYaGfIQ0Mfwn/4861cUL1v2bwUcW98/xGzo3MD+Y+RBgCXW
v/cfcXgJtP/7OQ++C+EoG3XkbIKAll/lQN2YEwPrGO2JGCAVmlaxo+mSO7OUHgjNKqkZQ0HWY62U
LMTQd86gPSbAa4indwScEKUxYmWSWlLBEcSjmd3DAI3igtFLmt1INjM/xi5lMgrg/ZQYcXEhp0ww
LMi7kPiytDwJFRHBk/tjCMC2usyaVoNASBtyxjjXLPtyNvYsmMZNDDe9AaAzdf7rmM6md/B0Rged
bGfMipMavJuZZyfVDrCLTNTS2prfelY/brz0bVxlrsO34rXuaih9zWoxupQYUGS80zDeWRts9mmi
8BYhEZiuisRCKrIjam1prmgY+LiJ6juOExJ0rehAG2J2alvW7ap6qIAbeST8iAjWGrBvt4yuPIG8
dZ2K8X3iXUWENK1h1TwIQWSM2M9BnBr6xzQV/bRs8yS1sZ/nVW8vHRjXGi5Y+TskzPkmhiEPhh6m
fkeJJd7SWtBXM9qeDZZ+0n3g8DYiYfXqZUO9ZJ9LNM+9nW9kycoVzX6dWkwAQb/vRa6i7orloXbU
iQa70TMPIr5Pk8ACBLNmn1THRNPGfcwc9R6DM2Zhs9ch7BrVdGtwOu8cv5nf3AbOwlQMLKzyOQlT
tLu70Svzy05jNFP3VnmsaznseVKBcW0rJud4QoajR+CMOyT5riyrOjSdJL62BRP5MSlUSLJBHlrS
NvE0xzUJHn5025VT+RxVmmRxFxUe0PqxuaY1eyTaI74147a/mUAO3BZNPr6CdFQhRrPo1DWJuuV6
qMHr1ulTwV6cwUs9P+cJIoINAydaDFdEIUStlaGcR09Jo8wDaT3ataYiBN94L6AMuJ15CeSdoAE6
2yUkeyOfn5rWs2G/F85j6xjVfT+rnMFjlMRqY2etqVh9dq7a1CTIHqsOZhBdQl9iy6/kcWJwv5+K
PH4ym9q88BdaDbxf9vTAxoU9rsc4LlvHAMWXMVlYsSFIYlaK66rakgNFwp8h7Bu4xO6RLuiBnXzY
Z4Nl8uhT7qUBCz/mIbWA1AYkPF4PcUxEkGK9C1BsCGQ281sPSJ5uk8KpnrqeCmeM3OadR+Gz0eIS
ItjTO/FLs+FswImy5sQzNxfqNnL65FRZqnuIDXN5GcyF3t+flPjIiNK90JbKZcTVmu5pYpyxs7Lm
59qRHChe222icnLYKCuYf3jDi+5kxfOcL+mzOcnU3titlz+3hAyFE2J/QqNlx6zFEFuedXKXMtec
6gwShJcW+wyPznXlV/ZpUr3P2BKjHT0w433MIGkeLPaSga939PSmWiHeSmtUt0HBbnIVg+5PsCmC
05BaH1paO2/racCXEU3g+oteBi714ybW9E1j99OpRtEDC9gWT5armddgch7TpbvPGs39VHaNL0X3
R52Fx8RqeyOaJXuAQWpdlFg0GPriEnOynk4sjY+E3bjneepabo2hv18Kj7lVp9cfzqB7QcMu/caM
/OWdRDCKVwMq6IoNb0jqiq3HOLHsjdMWmEemsp3Z6CKtsIQxvEowzlXN05+cPnb/uWEsG7K9TtTT
8VtvEp9VTMSV9WN7CcRlWo3bKmTAZr4ApU7BZ6AwCsi9mC+FYrxhAWdH9iWFxh0HWO3KYIaw62pD
gx3NMuw2z3osaw3TbmICCcQa+5SwsiJKGTGQRJmRWpVIdVdPFvGTeTyZ96OMvPd8KtFEDJg2GTms
oaXY8uc7SyN4sx4r+411AyGTTtQ5eBrWqOGB2I+b2KiihqFCAs8APQrbJMN4mA2AFaxyAQJg6Cd1
z4TKDEEpOdYlYuygmdm5aTgdrjBQUJFPdr2RuvpoeebdGZOzMmOjfsOLMqbIov5osynby9ZSl5oU
6Qb+u/dh0fx/1Zr1ybZZMKoZe7mZ2xJ+rZ9t6Sk0bnItP08q8c6+meeXiY47JsiWj0QXbdDqa/i0
Uo+13t3jpNBZn3XA5yOGAymC311KU4fGYfFvWzQjWN5FYm6sfuoPsZZcFTlkcmtIo5Bq1HhGHGjt
M9gbO+73j2ypyBZhP7RJ2qJ+iF1osaxim9NE8uu26yK7ONs1lHG7r8ZzXenxARfsnNIGOXJPN1nf
cuWWNCOE9VG0whBRvaYzeDAKyh7Le4qJRz/xDudQTA2pKgxNCNTJ7fKmjMjgKEiqORoVTYHe6yoE
75FeauQ7spqu6r0c1BBag5KvoqOSLryaoZ2b/5C98Z61Tb5ZeDxeEloRD+voOrmxvBb8eF+jLymh
UkEQ7r8Mc8y3A5Sj+0x37O1oTd0WHSQZxh5TUrPTonu2Pf0VI165n3yz5V2k3fUYZ6axzRaftZKF
SIvUy0Q7TsMF9sNkY1cTih6r+IF/c9jFk5d/lgjPGdTp/K6e9yPxip9dnvZHnGEum6scvLfNn1Cn
+AiIbOcwphKCDPG74ZgaYidkalzSeWQffkZMjywSbS/tCg4+kdi3GTHErKaydAduuT0OFCTbAd3i
gV3X6qSl8tKm2t7nIhkv0rJGzFMofNTSgFCkz6Quqwaglun21Ye0J9atVvGQDrGxGebEOUyjSU6r
fV6sqTlUVolkp4FPXxv2R6s3twNOYETAVQaza9lzRAN1M7UXI8UvnCAo2aX4uokggH2Q6/WV23S3
rt7vsR5hWSoJPypzwh6T6s7TJFNZwMg7gNVe0Pok8JHYKJitJ8xti3jHuvtslpp255PCsy+cwT9Y
cwZcxCRZJK9u5i5NdpKhabDUWrVxivnWHweDtKCciADZ1KFcmiok2Yiw02Qw9tVoLhzCrnmtSSVg
TGnuA9vS9LBkEWtC2/jZRo62ZWBdktKJJ1Sk0BrGKE94HpjD7SQM/yMt53bralx+da8dHHjbt47G
bo3svQSq3Gq88pvhqMrOP2RVrNHBLd6plPNtkdo/sFg/fjcI/+2l/k0vZZi4ef6plzowM0v/hlf4
46/80UkxHP8NBSqiTxN1HcpaNNp/dlKO/puwHDwGDK2+Z2P/20kJ8Rudlyt89PGrccVj1PZHN2V4
v/nISD1doCdFY/6fWYPsVXj6fzpqC+W2Z1urmJoUqVWvTtv2Vwm+DjFgyexY3Pd90wxBs5QUclTM
zHWXgsjxxoqpt9ICxbS7BoPA2bkTfjvvK1zVzaZIOTooUVluEHA2hZoDMBzY5xaeSvPa6zqvQ04S
TNI1H+km61Szbj3IdK4pq5AyCbFtjMzHuM5KIPGrKUyzfN4jQMjBnpvLwY9dehgDN0K1gA9g2TxZ
lLlpcq1Y+hbkCcvpjdOJwt5M5jSME742oqPW+PUu71itFToZkrPWvBNlkb3JeJpvsPga7BOz+XXu
wM34TQxogLm3/Dl2scHThNijGMjubZw4t4bUWPLjJhWPg6mWPPzL9XLz+3f9V3eLuar0f/kJVv0+
vyreBGw8a7/7FxdEuVhWxkPduV860z/a5mBvG6EoJnzy7fIArcaaECJK/6ZGEHFZTYKPBgOOzLw0
18c9ctJ567p2ffSXYTwvkZ1cCXJfP400156r1u7vkllTWzvNsvNgSzR+XrIupgoWGDEPX6Kazfra
87pHDn2kSM106cYTQq1E7DGDfWat077/84devW1//9AYW9YLmHgevBj2rzabxnO8mLlrdW/VZfRq
rL9+XNfGiyEsdaO5bAGHjG0p8k9YFzjxBYxdckd7M2MNOCj9vckNvgbfRoSwjpJOU20im5r5U2sK
8VM0tXERa6xxk8ExLum22DN60VNsKbH307R4yisMWQ7RtYe0YjmS4NjY56PphFQVcrvoJde0KfXx
Ql/Mz8oZLif8bIQMR/YBNxnVthWZYarmHBXRJLY8v5Kdnb4WjZ+dLKuePmjhzDXKb/qgLzKP7lx0
h05iM48SRs/NOOxkOqk7bsr8yh0xWBd9nh5y8xMrcNYFaz2JJjFb7AvQ3Ah+Io/iJE37Nvhe2+pL
J1hqr3uaiuRtVfErBbJKs3OZmO3l7BUCQVDV/PSKll1RNWHcZiTHfFwt5HVVxOSgpmvSi0JK/UxF
q25AP4xnAmr5cMIcCNNukyU7zF2S+ZvFisWdlkp13aObvEQ1HO945iwHsli4N7WcXfo49c9W0rfv
fpzHl5bV+Rs9Vv/Oy/fLmbX6orDmGrppGiZYuu9h119vGAjGURSPrnaXQHe6lf5Q7TV86k+zYl3W
udj6QMhy7cDH+JiEt2x6uQqKrWlOPrOmVleNIyJEg3r77LYWYpWk0PegzF+Ub1E1DU75WLa8Sj6S
nB1kI+PhYvUy1tT9gS7jBU04wTdzyXpR6auiwp35qPOgzWeLxoRFoTbvRgtFFAdqnZ86m55ja0tN
bLEit7wm0o+rLsf+8H3ZsjVjo5+yJ+xam+Vqw6i0Ljz4AVrZP/uk0T9X4FWuUurEDGhfgqDaBAvy
Xun5HmMDE5ZB+avuAMXW3oLM525zL/GuPb39c3/2Ly0t346e/zuv1q8f7o+Hb8Nhr2PjUfv7eTW1
Rk8iXxfdoQZhMyLJIgnmrtXuqV35BPisddq9XnvI5nSkm1WN35xVBx1k7xHIi/CIexDNctEiFM/H
5i0fHTyDfjutbgyjY0eKBYFvmiTmY5sO2u6fz57/7wPgA+VtwUA2Xdwmf/8A1ZL3nZHE7l2BMGGr
MgMRAbOHXcuwhGas4pyBVM55IRyOmCqxta3jVexXsVld0IRFX9x7JgfzXL8xuTAuaUvRh4hmINW8
8KKHwm3plZIqZurzz+/9VxDy+uVbLvs3Q6yWYevX9z6VICoomu27eliXpVPfR19czZF36PoOIf6S
LqviVF0XON3x1Hp8AoGH/ugRYHiiyUw3ky+6Y2EjEiLUSXuQTgkDbUJIhthoqK6h6qWXruDzTwSL
CMaoU//FMqPhJwKEQsQhzL1l8VhCt4u6Gawpr/ZEAIKqIYsjUIIJgByG6FkkRnbQPM07EakowKSA
ySx6kylmkahXoAvLvpvG6AiOp9sygQEoIoVQPw02H2h+SotNBUJ1Y7ugPN2Zdf5ulLAxE7NiP5bj
5S0s9umgaBAQQMO8+b71II3Hnx3Ji6R2rf6AoUIqtiBpuStEj3CozMxx44s2+USdtewyAsteufLG
n1ZRrifI+tVAgmEEgYDAQhySIjvn5GvSTg9mUeYPOup1OrTWSV9Ao3yYdVkf4VSpIwkjmDRWt7Rm
EcqZqKkPbbdQV2wleZb884VAkfi3Jyi3IRtVagZjNTat5eAvZQNndTlgQW3vSOWS8Cx0brDg+2wu
4NTt5wg9nptEfIBkSeIdpVjz5gi5AFLgTCKMomdcygguKbLi1KK3R81Fm0OYPTmuZRDH1U624PQC
7iT9fZ7QxnP8y3eGGePPIXUtLfQdu2SGl3h1SsRbVZzHStrb0qX/CxRY5IIVXkHubWGApAqAKw0H
L6ZzhHnsHpVVPiqY1ybvsoenqsGbYCVGOis31gTiSR8+W5JZbrm+krCDmH9QxtLvLe7aAyK7teRc
f9dmSuUzwXwHNprjHCqRLlvfnJ+NhrbMrKF68X4SwBsZNwTbUi7WTPTWxsEC/GEiigo7sIEnfEGo
jPxi1gKolPSRLWmZZyb9lr9phjx54jmQPiGhLopgaSaT3VsKGaf3IDoxX2iRehI9rhNMZ3IaBHhV
kk8NlMedNqIbM7RO1SciMXlU9aUTdkCHoI4nA2JphQiJj5tz5KHUWWUVU8efI/ltBEuYx6PB6C0w
54tRPcTIy/F7Wt86vsx8T/B5z+SwOk1+oUm63db0Z/wsaa2RUdvq72UBAWoj29ILZ052faNVbGNj
KBOgS2psaIDH6wvNmiGowB41X4x6ST2up2G5zSoWkNAGM3XXUVseCK/zYVz0y4IEN/eO3rBojNLK
nDBEB6MTipVl2lojihUPgjiM3i5yA1aIXIVpS5UZqJhEJ9/ONYADEaGr5lJ8ue50x/K4SDc2ZWsU
kOdZbYopL69ct0xuROlOGx4GPt/MKtn7vpH+29n+u86W3o8n97/eEmK/fPurFsT4/S/8uSHUf2P/
hiDtjzyRP6mBzm+I2R2erGCG0TmvzfMf20HL/A2pB6pmIBk+CVGrA/uPnpaoEfj+6ynGTfe9PvxP
lCCkivxyNK4rSwh7IC+Y57im+csDfi6lHCEgeye9LdWFlsGHmnKR3ynTZmxWjdCGIgkDyC3Iv4Na
G+VXpll2r1BH+wbiVa/dGLFLjHXSzOONBcb1KV9EZF20qVIfiUyz+IjYoY02UYVOedMqBkwDcodt
pAoS0VB53MIGNzFzINbHlpl5xec4zvbl2A7eE4416nt8maSUSM8QM0NwVW7oFI6Jb6XH0R6LbUYR
z5Cx8m1KkNJ0PiGQkPunw0wqigVCkxqfZdpad3mkYVsZcF1+SfYa17E2nvNiSJC30wwAqzHbN2QF
47OK23IDMS350nCUIbzCXtEGnXJxaeCHDNVs9jfMAhS4IeAKiN+s+ctlNHZbVxmKDXfEQzCi9js6
VgOeLO498hopYK1LGus8Q6y+GD7z+CFBqh5XhwLOxtaGAvVqzCYLJtMrUcy5tumyHXCK+9lIkuvB
xjZQDzXRZVMR7+PF905AJ9CrElNphixqnPsScDwwoiopsErPiVBBbYgBGENeGXFYER7wORs6sQU0
Zi4AxBXK5fgdaShR3p6GKM+2WY/oeYW3OpuiVf7FegAHdjavTxG/8eDv1n66i0YXLJ1bwjPlODzk
mt6/J8z5JWo/ztGNtTjNfVusLgjX0zY14v7b2i8wDGlw269BBrp64MULgFUHXTIRSe74UiBRCZzB
kt6FQY7m6rCbFY6n2PVP0FsjGcbsHrZFX3XXFdHRGyi60NZMh3GqxZAeEHTay5PMSmQTTqLiG082
Xyy35+Ggr2xjZOBm/TXFzL8Dc0IXGqTWIj8qwti0A6Vh8RQNKjvSx7RbSvTMPDaVM741+PpvnKkb
w7qp7B2bVOBnmfk/7J1Xd9xGukV/EbwQCum1c5PNnES+YFEJOacq/Pq7qyXNkmVbc/0+LzPjsWWy
AXThC+fsg+3QqkN43TKFsLEMfZw947WL5HS3GEFaF1tr4UWz960pvZ+Vn9yWdqis4jN3l9oAqmSX
cm15/ycG5oGlUzWmFE/vluO+DTelVSOsFRjDZnemLmUp+BQH/IyobzdZsTyIXoK2rByLobSF9PkQ
VVazI/eGSTvf0DX+Zx/muMh3fZnjZ2NOsKZnXzPEwZyLmhB3kqi3vdnoxGkr2mV4QtFWDXRfdEnk
pTolPhfr0h5CCxgNcE9Zi3u0b4diNl1m4iLi9deZW2lWiuFry3UfpWzK1QTXelMFHU+gqFoT/Git
vE3fj8iAOsjuabYMGKw7kgwy5R8dGc4nlo3pZm5LOjV3HAfouUt76QHPurCzsbxXVoWfMq09d4+t
bLg3wv5uSfhi5pCCl8B5YvTFpJt5PxIasck8D1ZlmvWPxmgX15R6/rqvoE+l0rUeOjwqmFJKMgTC
XoQrdpWS5ZoN63eOg/Vki2E1jfmtI6rnUEAbx1MHhbp2DtkQ33telSANsLI1UULVOmMthm+xh7nY
LR5L/NzTV7ueH2nNk405qfDo1/Cn7cKb9oGd2fdeA7GQ4ykHF9y5R98VJRL5UC+BRT9ewfM0t63M
SL0oXSDmhRDU0MBFEnbGK9kwk/fHwX9kmDVeNrOn14hxz5niw1xlWu5Gxifw8jV22Dxebsycby+Z
WdntMnE25mgmDjXTtMNohNkJv0Mot3EfS3z+y7geKrNcz3Tu6zjN2+tynNI9ksDgMu9spLOhwuCR
TtDn8LAzJRm2ZCyzHXW4KHczfPFttCASwyFTcLVtJ+OLGhgho/pU8RIJnInUt1QOEv6qUZ1SN+lv
sj6YP08m/eNU5chCBtvcmiQ049f2x13XB+WHtg6CW9QczCdibv8HVjE72x2NazeX1Y01jelGFbH5
aId28bVXYnj1rVhoJ39117ZJvFVWa+6KBrbotAzBMTNFj0YxN/ItLqKCQzdJx4dUOPUFS0Pn3el5
pB0MnCdpt9VVYDX9AeOfddNr1cWZvwcVQD3EVukFzNwwlAEcGE5mGE2n3i2ig5m42XrK+hwhfcCR
WcQ3MN+yQ0qrwWB19INVPuFtAicZb5yMlk7DOZcLsAvJrsyz8jq1i+gpqRbW1iWb6jeV2nr3bUzp
yQbgfeiB05JubcmP5TCyc3Oa5dGZHHvdRJnfgQJOB3I62v6pZUp5WpJoPkESJYmm8MyM561N7l1v
tB4YFNm7pc6ajSLnUa09iHMvTdv0t87iMW3u6wj+uD7teaPLd5xhxaOTCObNjAzldp6dnLoTqUrG
U3nhdsPdcCY4xt0Z52i2XsgSXXmzlZsf1Jn7WKMyTV+Y/EQAIYfaG3kT5RoVudSaGsl+By2FBUpS
ORNUyUYDJnGPkvuioZPdmT+ZOJpF2WksZZyocT9DqpwlLR1oxXjLQxoduZUFQTCgLR0NuXShXY6x
0WxaDcD8X338/+LCeZZuqf+5Pr58r/r3/k8V8rc/8qNCFn+4sBqh7bNhwcWtA3l/bH50wqUrbMpd
Qaz9eYrzo0pGtfxDN6djK6Gx6FUPedUsiv5NVWwJjYz6eW4XMi3FsegA7QKZ8xe+CyaWgMAi6V2W
Nm6CNVI9a954FvTVdj0C80Du5X8Tf+WlU0fXdaV4BXeuaWCaWQaeyofim26s/6YiM5iroHgJIp7o
9ehMLqEIZ+FZ/k2FVnZTKebr4ZtCTdk+1YHoDQ/t2oC5yztNou0/obPAYJxCW7aIP1gLjX4sIDmp
XQ/rg2GLejCChZZ1OfMiySjR8EjOQzbDNjRS81RJ4viIrDLBGftooftD0QZje8tWJQcqGYWvWKSc
ZN3x0rX4kk06hQalbLStYVqCXhE1P0J5y5bMJaYQUDEhYDoKGKajsZg5gurXli4VkC7QzHQSvHHc
wd/VI1aO9EzXzM6kzfpM3Rw0gDNfyuJIbHDyRhJE+wGmNKROS0M7a+idhVTXgdkRzjPlpTryH9HV
NHrODXGf5kHHMm4HDQOVZy4oCX7t3XimhZpncOiZIUoRHpIVrNGixZkyOmvgKIPi8na0gJAyV4iO
dqewPmpEadjbCuc5ZNMVB640VhEH9oHpT/qZ58G9I2MY2ulU28ZNUuLGlq7HtE1jUWmWqsdEo1IX
DU3lFeuvJ4m1by1I/rsS7mS/GGfaqqfBq7XQ1sqGchlXuH9EbLCwY9C81nQk5sWyq3HLfM4mIp10
DQdZ+6E4014ZWS1vhiqxiqaFsW81FlYw//hkalRs0ltAYzU+dtQg2frMlMWdq27kuHiTZRFyIgbG
Eqsf/z3k9BHJleHarDbXqXkOZm2/x7TizZyrizLq56Le+N+SXO3OQDFgBSgap2/6RsaDiB3/d6L+
f05U2wSH9rsT9eodA/J79fnnM/X7H/p+puIzgabpIz82hQkW0+SM+36m+uEf2gFCwig7c5pmFtnf
j1QnJNwQFgTWak6+s8/kP0es/4cG/Vkolhmq6zX9vzlifzlg+fEc6EzoWeSGoe39ipirzDHryiRn
OhlbTMKjSVSnWMbqqbQkWuDYdb+9m/9xFcPE5OcTXf9AH5qUSTIP5C6Uvfz9nzbHgCuSwVg8dZAy
6+6Iy2ah6c3p/qebcPvXBfUv0xT9U3iPMUwRLu8g+1fC2+D2gH/cRB7IeYKWbMv2Lq9RWzICbram
MRcrq+/mjWgz4x5Eu/wmPfnHDwnF8i8f0wIsh1RBBDa/zV8wd6PCr6f84VAXtAQQXJJlV/iYQlmx
BdSxSXdBT9Fhv4l8OCwNmA+N0UiNdN1jpHuARMJokjRWdYVmK8WvaxHxFSxzvoMbzD9bYEQh7oB4
gokuJKOrcElppP0MlPpK5ZjfO1kAikay7kTMqPW3XgszhHM9olXfa34VK/mYzHGy2x2aN+Zjy8Fs
pfXoOXZz3cFgeMR0L28HZ4wuZsZM70FJYBRhQJP6mtDM76aqmJ6LsVL7PpPVKUJFue6ilDf1XNvV
KSG6/S1JVfMKLpU/OMs0PPUYDrfAFaP7kKkFtPO+Mesjl6oqGQlTW6wj5nDOXq9MsRP6vb3FOmQ/
qlqxNpZ1cuO2S3WqRUj/hR2xWDV+2t3VxUT/P6FfXWcD9XzvJXDEHImhySznDRPn7iIf7fYOwzDb
ldGXew/U8bEdYItbzjA9Z2Y5PbfZ4j1wd+ztAhx0W9kQh0ba6U+qZvUeM0BYp3OlEOdH9SumKO5M
21TmwZtDvkMzzkpnqMKTx6L/QK+jvqJ2VU9mxx+hPe9fPHqnUyRjwf5lsB5HKCkv38xWdR2eypJw
2w3vO5GxwpmJVvPGBak6eWTbnlAIIhsme1u3zAUbDyz9CKdrjQa/I/ONv4xRozr0ZCx7DoYMCMgV
Y/tJ9nydEZWpvQdw+1gH3FzlN/NGjhkW9d6pumpren1xbPoAN80CwYhNiWRBHeX3MZ0CtJikvUYd
gW4mjKcvuanAojG434FCNzk0rPotle30DKB7uQrbiX8VwpZ9QwzaCmJ7cApno7mOeFujrGndGyM2
p7UI+SyeyMIVybvlespzHsUpqaYv4BnVnhe+uIkFdyKaSNYSVUMWIPwC5iDwUb7OtM7vYHLctZyj
DFqQxMMMYzCK7j0zaj+h/l+uqjlRT/Zcsuqp+TIUXZvvEMgNn83Msx5THJ0bWL+Y5Q2ubR9zH6l+
uNT6ES0qTPWq49MvuUIM1C7cCeHVhEZYPP8dW+DXImbthgTidTb6EZJdxygz+Ar5AXFuSoxEsuqj
0qYMcN9M+BdkCEbjc2zzbK5sI0/3tom6UqCQRP02Aa/xG2CQLg+l9uRKtrPXnm8MbHZFc9OUjrgJ
h9m9GVVkPVbELr6Orle/GSj1cGfh+e/sqH5zSlcRpWq4DzLQBCojw/hLklf9HuONrdapw7oo7MJ8
c/5wQcKXAM+FcS9VUw0byTzoag5U/wJ7J79XBD8B5Yq5PhZzqQtZZOXam830MNTM09do99O9K1O0
VnSy3KaSblpT1FqUj3l4yoj/c7aMvdvrwbPjwH4J8tDKvdeprubhU9qN4jUlsDKPD2gQKwLXhsUg
f9k0Z4LsiCZEdh47o7h3dNYdmmH1ZAUY6mlTmRZbrsTfAjh9x3NIVB6NO/a9Gt/ibhqr67EGVEVQ
bXghjPx2MMnbq83i3nDHa1E2JXEZvnu34NpfuT7wIVjoQIyia4gdcM98vkSxvSTH0s6feli/21FT
uEahPqYBSDwxjZ/zxC6PRhV/wpNH5uXixavKGptTjaxkW7i4LyAbDYia+nYbp/0ls4poV8yddYEm
K9xYgKfWhe/Gm1jnFAqdWAjUZ1LrDou+lwUXRs5ANS3aiiybMGqP9GfFxjYkQBYzdldlmk8QSYri
a9wwSSF7QsOjekFGhqjuFfuErV0a4WWWxM1V72Xzzkv4wrZZaV2mKpJbMutiiK/cSNuaUNrq1MZS
5zc2gxMg1ce8Af+Gr2VlZXtUas0aawyGOTcNDwhjHxydDekxfjhZ58BIm2v/qW/m2cNjEBIpyeBQ
zwSKgTTIhhBPejeIgaRQjj2omEonU8ZzaIH4CamCXZ1cqaKeDfU8YorRsZa8wIPddM66JBhgm1Ve
ew8s21pZQ97vYtAVktGagfE9kG+Btl0yA5GXlYynVaCDNcNzxqYnPYWIagJ04usQTjY77Jon4bCT
cto7qjO4Oefczobz1dwoDpFkRR4qOeMN36sroQM/Afst2xqT2dGWDXmDScK3qt/i7G/Js+QJREzv
XjReJ5+W2cnWHXFlrBWrw1xsnMmoIRF5y3ujw0dtVS6PDdqeeG31IQInNzyWxL7epjq5dCKF7yIv
G3a+dlHyuJNwWjAuh8zmiDtf55/W5yjUuJtJzmuCXWtM5dbQzMRZx6YiJ8o++F6crgIdqip0vOoY
TsauTZDKj3F5V6BgW/epOR/T1IGqxAp0Extx+FwEsbUvUp54T0e5YiKKtuEcias6rAX0rtm4LwcZ
YFVYiJKAUl6sQJclsCY9wh9F3F4nhFCfQrI2PBRMM+LwwsWsVYokv0LBYB1RA/loqckAvixY9ryO
ma9QJLkzlhabLuYyIR8kWGfst780ZVkWG+FXntyYmTkdlxblUVMa3X6kh37FFpVCbCTu5SSGuP9U
OpkHA7EXE5IHi2WL+4plxDzMSd6nK7OuIMMYssp3fuJOH+uMwNChmHVd0LR3WJ6LjdeSaLUNpjK9
NGRR5KuISBx/xXedLFBn6k5h29di3UlwL+yS3PRAsAwOhyyt3Rtl4/JYkqr5SIdqIK4AhqnvDYtg
XSJlmcN7SGMyM+wCp9CG5ohOZ/gcQLFr1gwH63xn5j0vnIZT+GtVFPAulBHdN6D8sHzA/zz5qBCj
TexqHV2SsjEAZX+zpKlxb5BSwsdNnWQ3ovYONjGTnnVJkZdshCebj7IZl4aoDm6StfB2Juy6vfhW
fLWpbT1mluo/k4udBRubcTB1cglsaiUVcceUod6DzFl6rHTBWG3tCe1ZltjFEVBwdSq6ZTkIsweG
WtOODl2G/ads4HYRedvzcg/L2rjHdD4+p6RH3xDykm8q12uu4+X8W4QtGTFavxS1rT6UIWt+HTJq
kjT0KU/CtrVuOQarz07j1dPGAKjMWxvIrMd6JFqVrBLwJTRqr7W3z0kKVWNltUZQAXnq1D4uPXVp
MknZEl02b+KYd3lNsfVKX12ue6XL39CrX/1BFkf8HubKiYX1GJRSfQ1Uk+4J/q3hsqYhxJ0ZlYly
I7T5deMUxxyB8bct/z83EdZfmwgw+QFNI80My+ZfqcOM1J2mwMJ0YJ2TrRUBv3hhSqZMNdzKTYMG
dBMmjv8V/PJ0wEuJv9Ky34OseZmr2NmmLq8pg8jjzdiU+Dw7W7xOKEyu0sXJL02zdN5skSfyCrt9
NV12SRLA3rHyjSlwzKeSC1lyCw94TN0b00oIo5YldYLWWPPihlskHXUpEqooVFjzptZ31hajcT/F
kHsN11dQdmNc1XYlCPdy8JzwsvCoN+YaDj/LoKMOfqOBCTCeYkfkH2JQw63vgLvqaFFqJElC8V1V
tPpehrpcyimkQsA8K2Gm3gPRWs0WyUtzneO7PWUjPKUJ7u46npLpWVO9MVK5dvHWOfhQL4Zi8adT
G80xFymFCGnIfkBnHOeJuR4bJyoMVg3ZyH7OtfGsiQ0fqLKf60hYUMK0+9z38GAcc14lG9Yr/B8R
hVS0MVkt41pPkRNMK5dK5zJkr/HZLxyWvGKmlurMJKuAFSZ84rgK663k4UdAIymhfPC5BNVRXNHG
mAe6Hh7tQPQvZkaJD0vHXfcu1Nd1SWwvykSddZ2I5qPKxnzXpUO6Z5sebMx8xvYPumjYJOh/n4e0
ePM76naIts1rQDRxuumQOFLMc+3CHALkxbJw8fmyG/ddZjtHiy/sXc5qaI+9A1ELZIDiOIBZfJdg
Z98Fa1PqrIIVSSW5n84QdLd0AMFJtSY2splmyysq1J9gcV+ktJyjKYf6bdA1dZWEBcvWYZpZSxeE
06oCZ5C1xOWx61HUZyjjSFdN/bvS6cZn04JlDIynfneJudqDrVeXjUXXgk1r4Zs31KhM7YxGvm2L
5hpOF5vqSMj6fYgqbEvBQEUaCYHUrCZ0bjr0sA1J0Lb4m8hw2091Jbkq5QI9mKp85bKDPlQJZ1Hb
tExDbPDMKxnqoysps2XnKvYssK7aD+yQg5M10972TRKeYqvpLlLlVyePpKR9x8G1r0zbXZNMNz0j
t6KtmlW6D3TnjcaluS5z+nI/pT0J5mr5Cm4MiW4aLM0rG8vbSWIRBTxGm2O67KoqAVV4TshIFvxL
K0MXLPq3lkJDXFlw82DUhb4HzkzkhP6qSjpZXiR4isAWNm9uK0mp6khFXWUm0m82iXSkumlIpUnj
lEjR3plVx52pM14B5zOwqWLtNYxtRdQ7TJ0VxQb9tAMEjYEWn67w1eUSowGWE1ON82NoS1pfHu/W
PMizuDim03R61d6dO21W5AUfxWcpadGxtiXdR1FZKeNUXmQFEvvTGHkuZgjaMoP90MdBtHQUDHq4
9HqAgtBL7fKGRnxOkq9dAOR24etWraWKeQnMkhlEEDM1MBuZ37eNkDoiLw+pD3kVjjXQsnacGIqg
+1sQkpkFPGg+EetUvJLoIKi2wpnRR+RhFY5zE9rwCAEwzHgEIZpZ87Yq+cbEsnRvbNJjySwwTTS4
3tQDpUUjyhmWtyQqs6xeIatpP8VM2tntD+qpMviaR3ZXHA3d1CIJ4lijkwKJpjtkzcYj3N6vAJUu
Wi1Y2jTZ7cIR51j8+HPf7OMvu5I5M7OqTgREY+OLaS66TPHR7a2LkpdU25tIDc6PJizNXSNoyaua
QHLS36oT0ZfaaSeCE3zD9kNtMbuAe8csY9Q1yoxo42YSVLhgpQYOd8PuP9dFWL+hhEOtbrbhafY5
Z+s54RImLtkEZoVGdc7z0dr2lK3b3qMsGoBrnfTz3Hb6GO6jugeYXzAJClOfWiPv+OMhYIHLlE3N
Y6KnjXOb6bcAhfGbFfBIiGXsP48tBK7EiuIbH1YB1G/9/BCEfKDEZAjk8XEiPXU4lxVByGQqzqv8
vpwnund4xBv2Rvbj+d1gwaq5ADuZ3Pgc+fT7DK9IHRQ3fmy4vCrmMDi1hKpdtQrvEOB7pLcl9CqP
nAEm+9z4xMusx8ZDKZXCOThCFwI+W5jVaXHG6uTaFA+lvgcJ9dJrjzCy2XVLTVE0Y7C2AcY+q5ny
pMmZi5h1YT/C8Oew5Rz7UJMc/UowDny2iGP/PIqZBoZFgQ3rKiZ6DUwZgwz8QxiZKC/znU482LW1
hLs+UGSeJQKD4zB9Qo1PyJg51W+FbTAYnJnVOWlEiTZQsDheO29shnpbXvY8POdjVoJc2NOxA3hn
I/JCN6WABtulruPw9F/IDpNwR7P8xL4J4hYrbAXZd+JimhxvycT3KIdF+2J6U0Nt7fCsGWZ0L2fm
FGz2y/RYCbe9mJuC4Y0+Kh2Ti9LlTo6G20YE4KUu0wa43U6LWmyV0KryneyYClYDoLezIdlp/fGL
r6HlJLOBEG5zvrip9kGwwGk+osSm5GhxSh7RglI8NhivIM6/TZPLVSPZwjnaQcJXZcq5BgPprZtq
mtsPVCWZQDUD5Y2sxDqkbhnd9BqgHIfsDE3yGR6Msw4Vkt1p5IYrMg+vcptR5vkvz19MVWa8Ygxg
z5/cmXcqIVPiWC2DvJU2DosyyVK4ljVf6FS0F7HvcshMLk82q7HFxU2PGL7xFirh2Vc72edfR7HU
HohNGofzgE4zhAVx4vezrgKUBDukV47jngaOTzyT1JDNhzEQrwBDE7agTMBRReOFdTX8IAfGejFE
Q/3f1N1/tuXhyCNaydfSRR/JrQ9r68+T/bFGVo4rZDiQM9cjo11G98b3UDDFAxA9JTjakpDie4gx
TvlxXSJwc50DfMi3GOTEvVE57UXvTOqympuW5Ekhbia2fk8cCcvu9/sBy/mb+XxgOXpL7UIF+/WX
Dfwg9yfD6Q8ANNicEff+oBp6MdPKkhtjpDFhWkEhak00RfkAhMpklKFp3/V7Bplqdb7Zv/+lfjV5
cAUd1yecSv9S2kP5y24kHnmSwzTuD2WJpG0dAqPc9GyFkYrACOlQWG/o3petQgxDoTMyZIPjQvGY
6E5OTDkRxjxUjlab4/mqPzdp4d8FHj5oTlkKQwNJ+qrVCIPf/+Z/06lYCGj13ffZ1jMs+fO972xQ
yZq9hJvebi9IpC705J7qsWV3ewfOnU2E0wabiTPxrVe8RfCv0ReOg/t99/I/cfR/EUeTN25z2f9Z
/PH8pSvravh5U/n9z/zYVFp/CL6+oacPXS90NXvvx6bSAa6kt41s08Aj4739z6pSsN8853Ax7v2h
rP6hkbbZYoZIMoXrgit3hf9vVpW/bA4xFhPEiTjFcQQWB/Fr8laAsGxJ2YsdggCzX0m3CvMNfNtP
1+RvNoe/nmIBkYd8Ru0yZlVL5/3nJzkaibxx6jg6oF3gIAfGDRxNMlevBlZhMPedI2kFYJXqZWhe
f/+z9f1qfpK7CP3DIaWwjeWy+VzsP/9w3vzgzfMgPMQipLdCGDJvJkn6X+mafLlhbLwTx9KEGL5S
Z9MvKv0ijQFUjdd5DusNwt7UyAtmmIJi7bQGQmJI6Dek0lTGOis43wbVUZxBEifq3Y/ukTTP/+Us
+NsP4cPzslixuDxIv1xBsxMNHKYlPGC1srdSEKJSGqU4pv6snlqHzU9k5SwFjJLaSkugX+eQSZZb
Q0+CMh/KW6+y5S21ULAyJ0TUoS7opiCnUA8p6IKJ6rxMx2GneK8yzNPl0+9vhHaQ/3ofAt/DqHTW
9v+6PmbGSmqRT3RD6tC9dFTXCDSYIPl19vX3P+nX/bu+4/iJKfTJsSPt6ZeL5QLVKBuLn3Ru+8/b
6sEL2otuoMej9yv/5fpd/7wQsYFg189DdjZ2/7R+t62+qiDD8PNilqacKIgWxzg8/f5T/c31A2kp
eJvxMmAL/wvWMuzQNhSzgQiXFnofcNUaJ8Qn3AePv/9B5xCqX+6Ua1toCvjise3/9VDIYssOZ57B
g73QSS56W5yQN7tXihunmCIwwUyoSsFjsczSXSp7KrBXMMDvE7jEl6Xrtned0lNHT6vBGgsJMTQB
FD5xQdFdF5TEKc/m0xRTHa8d8ktAVxDxg2Zb97ayYf1mBcAyesrpl9lb0sPvP6RzTvz606dkCMjq
luKASNYwdJGk/CyaiOwIc8RCpsAMb2VVxjVFXgxJx2i7fFczLcb/VX+VRWds3Bw/KA9vdijKbGQU
1gx0y1133eTpDK8XvDE5QOaLZefptRsq8ebPZfnitt4WA4X9YIUlZl8iSVCd4S19tM2cYJ+FEcEw
JfIpiSt7U8Fe3IN2IyQ9fuM4yw/e4Lo38Wi7EFtwZvF2SQ5lE9lbJ/bSAw4sxQQmLbeJLaw9nqrg
EWxOdsyMDC6O1SZAy+LoE9hmoFN9Hh9Fs0w3TWHNZL4vvjiVQVvsJwYD2wZB+NoTiKO80asL5Paw
y3JIc88Dy002ZTQEpTJu3LBRn6HX9yyBEojG+eDs3UhkPbQzqDe01N7G8BcBfs8xH9GAly9+nEAP
xe8gV7kZKpZoXcL8Y65NZ1XjVPzgBxWr8dLuDm4Y0l2oTJ6WNvRuPLKNNkOQVuHKKVMg9kPVfoTi
776bbb81JKkSSZR/MXIjuDKqwgC9ksZbw+8usIrwW0MGhDYWHuVkVNd11ESkHbAeZd6CPNDwq73Z
ZCd9PTc15OK1EwbGigiBnum88+omQO2FTMxjnJfASSMEB0aRDzgWIIVfWyPL7RVoTyYivF/WWTkj
rkDQdxwX4bx3cMZuM65TdRxYXK9bv3cec4HXvuGJmOgMx9Zx3uu2q3esO42N00gWgsg7uqdK9eO6
zmHQTJEkTZWk8sOsRnKgnDs7YvjM2TYdB6QqK2AO7Ce7xP7ssBPbdJ7V3KmuuEohP6wN+nS4ecW4
wfcCLgMJ9bozzYvGzrDnxUIQ1iPjhyojoTH23hKYnYcEAsB9ZC1qy8gFaED+bpdVtYEYkK2NzAuf
Bzj8O6frrJMvxxluICMgguQxO5oIRcaMmG8a5mhF8nXCETXOa6s8w3tq7FdBHO5zYG0kbQXRq9Ek
il9GRrvEznGL5AT8wKBuJx6uafY3vIbyXRoHHip5hsobUhfsfdf3xqW71PWJUEeTbZGr3rO5N+/I
D0OfUim07vjFMxi3NRySldVb7aVSljgmlSwOloOoEquCtfcMVSPqD1sboPzWhhy3SnyCttGWRoDl
s+pTN4n4QxZZ42fP79UHVlTzRRkE0zFHBk873YgTOKJm3w55tGZnMR1Hi++XoXImPoUihGplZn5v
HSsWLTqKqfXKbWnGRIegl30Sk1ntHNNOjiaii60oWH5laoxWIRThPcpwrAOyRm1CdNLKrfnLrBpz
smnQzVyEDe21h+p0b3i0TefBVJQhoJiGbq6vTRUXm6ihKFgmGsROT6aIhQo2acyb47yiYkeMZmti
aMkn7i7OLSVzmXxjJybjR9b6Lwte8BubL+q1Ss123OTRwLTShOb0xdLj4ZBEooPKsu5T4st459Wp
z3poqE6VyxzKMLU4q26SG8alVCd6MkcygskkOmTWHBUSddRoIQeSJBDcF7Gg79J7vNxcYL8Y1IWG
y7IEf45zpAFj3qY3ITWCYVgAbv/5nAZQZAxxs44PiXF/ufIKMueWkIGzUk5z7SRs/H095SbalXW8
h+1vk9UVnVvH8JD1ZnITaiGTOzr29jxKFa6Ibxa/YR1HwLVe4YdF/xJDrl6PncNvkqND2U/TwEeC
cROvBtiGuGrzzN06YeLenFUvxCWgHh5sdl+ZRyKRj9aLWoWhZ+SFK+rI7mIi33hlIej5Sg08Pacs
khAZ0+dlCsqkHmLae8ss2z1dvEvaPUs+xQ9INkbBm5fEU6YsrkrcN9Qc7IKZqw73SAn4X3k8shWx
WwgYifWBVeVlnyM08Ke2RlEG8ZpFo+lcutJkgsGhYHWjcw2GS+yapJXHktnLeiqyZFcT8bKtq/HR
ipAszMOQErU3u1s/NW+7qAqnVQ5eZ0+iiUr2XH4//9TBQUtOXV+2E0+zO6wGWYG4g1FvbjrH7qJT
CAqbBDepemQdyPySa4mSsFyO59f7/xrW/9KwAuLVc4J/bliv0qr60tfD+88t6/c/9b1lDVDQBnri
xPgJkwAc9/+0rKEPj0oz1QOClr5TrH4YFsI/kJ5STmFqccDEQvf9oa7F8YtOH3qwRetHbJbv/puW
VSMu/txKADtA7ErZRiOMUZ1S9c+lm8PmoRxEZV5WpgH5mmdYACBhBRUhdbJks83x6tag4qam2xEf
YaGWQnzzRcqCZVNJ4bVC7tZfMZWkJ+T7kC0vcsGFRmRQwRk0g/lj2Rg/lZI1CdHU7svExusKfdBw
S/qcEe3SGocs2G3DJ8KSv7mePBk2IFaTHLhPVl3ilV8OpXTvCtqOj8aMWOTSRASHnAv6wmnKUBM9
OXk0+qd+0XDFsfBmKHCidMbP2aIg9dg9pj1PExNITVoUfSvEErVxOtNZJ74zvs4Z41C5GpGdXuVO
yuC/7Uq/2eXc2wfkZaW3dmyyRLcNbMsnK1EtTiJWY+suzSbviEyapRTjqwdPjPax94dkb0v4yG2o
tqmfatlsm2bER9r2Hsj3o2KmfOuBxcgO/CPOFRVxVKISZDJODTx0qw6Ly3awjHcJcwORDHURS0jf
WC8ombYtzZNcT4yJN0vit+52EUZ/b5mFezXhDdxaw+hbIAbDtr6k142eF9CGD43O2+wGZQfHLhoc
Y4ON2y10SDAMTx/S7IeJoe3WcGxytDzf5xo006odZXXhhTXQ5gavGCmzFOr0EhHKT6XmSxaBGCGN
uEk4z7zlvq1ikZr7KAYtklvIpgYMEyt7mHnFEX+z8QOqvbWI2mwXqCg6gKuyPzSLwxpz6Y3lMSx8
XLdAxaD9CwIxi+e0C8YKRyveB3M7Vqx+jO2MJKvv9/aYKRPsRuxWJcmmhZta73HPZJk7R1yb6xYh
rkOxttm0XS8uxFNpRgwkiMg4ptNyHySRt0UcVKzzvJ4zAIq8AkSNrTvxKE66kdnqqlgMJ131ro1q
bokmiiWEixUQwlwiG3LtYzx2V64KSDuYl5Wf1jooEgeQm+9Z7/HizKtd5eX9k2EkdxLt/Krjx+zi
BbBwOalXy5yBqvlphFtaPZhF1h9b5A5bZCfZqS0N89i4eHNxVNgXoVENq7y3+m1vJOw9SK8lXayo
dzPIkEujUMvRpEjmBhX2U6hsBkOElbaY71dZMhhrMWTTjszQAfsdSoJjn0LBrLviAiZmfNl6/ghN
tjS3CIP2tUHqCr0MiW0N18dA61cCbIxbIzToRDPIuEnyxWUbgD4AhVuEjdRr4UNjhEUfhXmB2maE
0F+5xH72KK33zMofhtSgNahTHWbqRmvRZdYtv312mcGUIyNXDs0Rasb4hTWMIjnM4eLwZTu0zbTJ
/cbRuUEo19v2WM3uQ+sU93mQnhYr2ofdaCI4Xh5T0Ka12YcXUNfueyLqq4UMKKRm2xipVBd7yTqY
xFPftvv/Y+/MdiNH0iv8Kn4BNhjcCRi+SOaeykztS90QkkrFnQwuwe3p/bGmG+7qwYzHgG8MeNBz
UeiukkqZyYj//Od8x5vGc4pnERuGGreNzLtNH860PobWM9gS4vjUpK1FkX/lFntUoxwcMtUxCVCN
sGctROB33COQrXkIJt7ZkqB20oI4OrYZwHeczHc6btBNAbApcH1Qp0EsW1Hyejg7oy0ogIx9MC5N
/jm7cFmx9/lHh8flkXsS3qbQTC+x36XsTMgI86lYGHr1HXnRDX3Na2+uystIQ9h7vjzNMgW/GfQ3
t3spDes+MWrnWMkuhgOVNlsJOurNreNXXWux7Bnjj7gr6O51GZVgCuUr/CFTYGuhf1RTYm6o1PDv
wCgsjVyOf8hS9z50mjuK0/Qtjwm6JlNtIC+dOd0LzxW1Nno37FfS7NJLaigqOruM3gteqK1e1epi
R3Z8b46jf25G/X5utA6xo3jD32AEqa+u01hsS5zpqzGlxJ3b3z0tTzxdaAcMlZ5uudeafHvUKsdW
gqcm5nQAGgFymy6ltHvM6RjZGsUcPgzZcKYEoglG0aVPrpY+2TiFVrnWv8MSf3UiTJIYlHkfK3jy
KJur2Bi27EMPkHt3ZOHo7cHpTnFDVO8Gr/ksaRna2M3c7vXOeJShC+abqgb6P6AjnOx60C+xMO+V
L2/yNn52MgOLBusQvQKxypN242g+ZQ9DG5jQm7PlWSo179ZrzV1LWPZ+5KUrVrKPsB46s/ctCyPx
mtMBwH3PXSDUFBIbbk9VVb/p6+zoeka3tdGDTw1e3FXdywSsvE+HZDbl3i4nw3WIq27fyfTYJ2G2
Y5WYBJGvyVWC0ZLDLA/m0HdX3oBPY1VZyvoEgd0tG3/Nu4DBte5ikFGr2W3qMzZGemWHnq7B1I4/
5OhYwWCoG8AKnAlD/iQsknIYUX16fQkp+/7GaLqHfmovdeIWn/1Y7n1vek3dLN/0/H1opKuyAIpn
cuonfD1NIbbwpmggZ88+X0a8BxiVQpoP1RyLk53Y0RZc+bRqVWS+hZWS9ywKsnJFZwtziJfxZOoL
s7yF1kFeu2rwo2AfCCSBiP1UEYkXAuhBqaS6MTCOBIlhyL2vwNCGJnUG2rAcz7jRKgYLzbMvg+4a
z8gh5VWPZD+urSlHF6HhMlX3Zap5B7/N5uPYm0/WqMsPrem1iHoaZsut7Q7s300EIlQ4q8Lawzlr
bPrO/yy0/lbEbhJ01tDdt3Z5O5QavJNMuyumWF2zMXlZ+pq2anSqI97xF6+F8zsmFMhpotsI/no0
gOX1Nx6v1n4QU/gOJKTZDHbYgEcAiJdWfbxz2FWvPA/AcgFDPUja/m3pwt1QtKWdo37InilcgUjS
t94PR+HxVjD+we2a+XvludODO1DSmSnvzcxsCWq9cJ/ZqQPGoPGTwu04fcR9o4MmWSDBLtVXpjlW
65Fw4bDlBUtXeHbZ/Hu4KVKfby9ilNkU6XfZZB+Trrn3vl/2L2bbU6WrQFzrmU3xNke2m0qBeyxp
QDTPsrFWUm/yE3ykCjeEomqxLaOzMPI9akEW4OJjc6z86p4GvhpPnherOwzy3n52nfpFQ+evuml8
7NvI2go/oRbRZ1q9IR7yHQL4J0/nfItG5q9VE6qnJBXkWE1/J/1mWlPUnmxC6XBAJD7tnAYmktg2
dApJq9S4lPgYAJbY9Q04QYhVXTvdkM719yC4Rqyv9Scl8NCZxzzBGCp78cADsqVTRplQ7JxuiCkb
LaN2axVWxuHVaiWZWN88YVkCq81d8FkfGhNt0ss9qoysyYTbYoqPMredDyspMYDPXeRDv6T7UeRc
GBQ/c4PZlkU96wmr6KE/zBpOEH1dmsY1ZFCB4k/XA2M0Zrd1wc0jiMmCRXFAvzImrlOjBnebFX30
AL6ka8SZi1YA4ee58eeDYwzfq9BxdjV2gHXRSTz6aF6HkI7I1TzaPrlZWhkb62ingDEwtMOCrKoU
K5j61ncW/JgZJm5JoGxtIzGsGrgEFCBXhMB+FkBL6uA8ke/NDrZ93KT9sdSHTdiYlzROzafEcppd
Lh3vlMRFdUo7LAYZPdPTHG/zvm7um7i3drr4ICXMhQk89CYtwifaJotVTtd0qFnmGuOUXLd2gzqW
Ug7hTOWGkPV+Bv8WFNimV55viAA0tQwSq6dpcqx5nOD8YEHW47LEuD9n8bcBhoPDBX+re/yIMT4+
jRXGbBf4DVa94jQ4ybROhVesGVXoaepg2K0iV3Im5hXUf+veHwprhzn4My/VUyUnkkcO9M2COcUg
3Ussr8THLbu1BCW2MqXdnIGe9fh1NOOZnAZk/rwA+UadREBlMUfdpCFGClRZE+05BbOIcyZF48uK
GQCnHLckaeBiVmHyPWvEWowu8DpSfZsxh7SvWyS6Ri98ckV+U8fKujSUEwWqLn9w+UXHiduNSOcq
iDUoDaPVX0esFNsZXNlTY6XJOrcUzEer9DeWxWXHWJoxJvhuZ4Q5sA7wx7Ys5eqL44UfettEaz8b
nV08ZONdPbna1m+BHU+5y61HSP+KrHwpx0ldDJ3kc1UPwdw2GbxifbrQ0HwkV0zHgVPBu+t7aEq+
O9x4pvu9Yt4gPvBmePN7JB24Oq26Ycyd+GFk2yGfDyGUzM2sabscdJMHFUo4pN5Fm8o9y9PbOjFJ
aEAP9+PaCzAj6lspGW97epZ2hPEQqG2xMtP0hImDAzTVj3rmPWFggWGZzO+jqz5DFX1UVcb7pzLv
VHd2q/AJgbfDwVNG3zQNB63CmoVHCLa56d5AaXr1YJ83vl/tMg7HFXkkUmk4r6iz0Olft+Rdiuk+
0NpUDzo1kxfI8C9fspC6XqzEt5jlAZpntIFzJKQhf11OgnqFthpvJ9bSB0Ql59vUxF8mKQl6hwfY
76bRUntoEYHBKle85VVaVJskEcWFI8uCOliZORe8qnFRNJvybugMSnO1sQZO5WS7NNEiQEEG7mG0
dnbOBiUqhN7g3DS2rJ8G5eWHHrPzgVt1dvDduNxZfolERtH1adCVs20QxoBGk2Gr/KvvqfS2TDTx
w05adZrjxDmS8Wn2Rj4tJZThtLUHq3m0yqlagw16Z4ZPzxlNJEEY6dd5jijjaqvoBoyoGShSzWeh
O4Q/5nHcmRXGdDpsq21PhHDb+S5+QVzWoVmWu57S6XU0EtUpahxlAKJgJSjSaKWpk/RTXuDI1NwY
cR5eHdE5EBOnD6JWPjZIF7tYzk+MS+25VHm5b9LpYDc9XcVDfxFFxbWijV3OYv8b4eBkXXuuuU6L
GFSQtEuuQc0MUI0/ng4T9FGGLGfkusfUv7UMbNlw74NqHNNtTETswL3x4C7rgDwv+i2PK5u1IkWQ
WWGXmxxXehrLK8OUd69SzdoxCqO4mGP61mdsq/Ec69mZo5pTaGBauEytfyrbktqRLMVRHrr2SmVF
oPWMH2DB6pNLqQNyc84SMbMW3gO9c7iO9FOX1d2xrcwf9Uwezme3t8wWxpxcBE/3DRC3AkI5L2OV
4ez1M1aReT6wUdHECpm7W2e1p50G6A+JAZCaGp9z5LjPlUfzH/frOhhZsrC5Gbel0CmAQu+Ae8As
Y8fTEiHhj/KUQTlu9zVX8s6puvMkpxRIXLieyRigMjBnGSbdVOzhV0MX89fDKOmYbaDHI09lWw/3
cZU3aNjS5tIyHQc+qYFaYiW66nhG2qIhANd/9G76genq4Fn1LZbx8QB411gzQp54RD/LsC9JaI0b
Ri3eyWJyg64HAMqnQb/MQhk7bxyQUWYOXRyOh0aK+ynVDl6qNrCWsoD0SOkz6MzlS21pyCbDMHhb
IxePPDvvjSmi5iWi/JRGFiYvbwhg5sTrjqaOeWZPgiKwFmEyHGPsTzSalh9lV/l3aQTJmNvsrsYh
uHZGc34Cn3Lrzj5ZSikMvM/6tmttd2U1DSQwLsoaBnl3IvPtpo/UGH15or60s3HKPOfdpOVC5u+d
oD698340iwFT95JpUwpK49vCX9dpGYhUpuu57n/IrsmCXMu+xbUWb2praZ6RWkBzUYWo4qGVzKkP
bq5EC4gFPQw8tb6lVXrbxDygg1Y1zhhI+AVXjKPGkfoOh5LZCITu0DOU9/XU8B9xkktwHxTSyHpT
shZr1jF896F2TpIkIXbLAGjXAnQG4rdFxYmOHFn2KpuFCx9NTLW6oT+92VmE/iBjORZl36CUbz2e
atDFWtHY9GbHNZYeyluc7lGznKLdFl6LZbLRsqEJTBEjtTnMCBOPD0Ml25QGp5oUAj8jO5RoDtjN
9RuF9+GjzUY368ij+y2Kxd8cQv/bev3uq7q8F1/tvy9/8CeXC55zcfcfv/6y/duvo69q/d69//KL
zU8+xZ36aqb7r1bl/Na/RYeW//Jf/Zf/9vWvUC5MlHh06X+sxD9UVLr/W/DeUCxf/iLH//5b/3CQ
eb8RhMWM4fzNJIYv5HcDmWf+hrPJxlFl/VG19wfqwv7NwCfEttOEWvOLGG+CHLJARSABO1jM8Hf8
T8R42/+LFm/5gI1s3sz8mQ5Cuv4XLV4lRlbCrwHK27vY+H0WuUPAZ8PfxWUtt9iOLBXAZvPufCCv
9H0mJfZfaqbXfR57nGSmwrUeJuaL08bTbeUY5UPfOuE338KjhcI6SBgAs72XzZJHwzBrn1gPwmrJ
oGWCP8ALzwNlxIRAbMs3b7yc8qFMVNwic+Too5rrvEZ7TiLONaRfgdoEPXE9U9n3oy3omOIONlnb
jGDSFVQ1beMxlaxahXFgo9eaeWxCEEB8wuwyXWtmzM62H+GD9jD/zobWhDLoDMD+qjDN4wCq7+CP
iV5yO637NwJhLs+XIuy++CoLz4uLJjgGVbbmysNoGvMH59PGn+jCGMPSaRCxOyT7RKNGNFmIHBvs
McWPhBd8b4f24uQi2AJ8MQm/z86C7szE0L7IWWNdGfKdvVjSJio04G6DszfekiaPr4MKy0esztW1
a/lw0yk7RvYa2V/nZI1dtshwr0UY6KLmIj/H0rvjwTNtakfyg8TZg8qj43QfVyB6XK7fM1mCCGZd
mOO8plm30cUaXcYqWQwP1db1CgItNLyNspBXDkX/1m7jpd3Q8u19y89v21dkHhj4YSzH8XAT01K7
HeMeAkdil9WDELV3p1m8W9KMgcmfPHtfCMxbRdiIx7DKcL8hrRw1UrUHhMfqmjV1rz3MVjFtHDcV
R6qoBsaWTFnrhKxsu581SBCWEuYWaH79McxF/daoyniR+mThDZ5rvDKIfe13oRV0snZxB9B4mPy7
UZK1mCbLfzB4JCGHz7Ap/ZF+vcDuifyF5FYxxYAYWneIMu/MWjSHgSy8kdJ0gcJOOoWuY1oS9XHZ
NBPUmww8UKHSboxwiZgMhgtmSh89BuTW9NPuENuZzRV5kOreFaCSb2I4krcSMJG5IvLsPJViss4x
tVdDBLSErQN3ejqOODhEM5u7CEuHH8IqSAeY7Ro/iGY/2bg93+qeVl2t8wF+4UgxQ14f7CIr1oGq
Hjb4uL1thO/RUPuQUgGQo45U+iGv6yl5MWTro8Lzv2WrYuivbhhpDwQq2wCGytktCnqg+q59ievi
EsIPvWHQgnaV2hqJHYCJRUWDblToLksVI9efbFOnx2lmVqRYeGZqJtur09zMap1LYz1Hw3PS0TCr
+XC42zSuoXZ096kSdDbm0nDQXgxwChnvoWcIKJGz5+OtIfSYIY1RDZYyEuiFDHRPYJ9IWYw7GX4F
rTNa2o9Lvof9pCejAohpqPXUjYtVRU8PldIRd/zyvpq9m44GvEOKsZBmtWo8DgkXIHdM8o3VoVsQ
FdkNmqV9Z6uwqfOwCepw3o0ea3eIG7QiyM69ULH40M1ttEbd33ldaj+LhroD5CG1midVXQdPv2eD
YKx6SAUrrfXjNa4I+Cs5J7EnHTqqyjZoU7s86aVsv9LJvejgiN8wrA37cajzB3Cu3jXtq5ZOS6Yg
K2/R7RRlxnVFc91ANG5nOfMlqT2cFZbeBTFx5O0kEIVHjd8lqFkGZNZUck2W7q3iUr1MtlckrXM3
YHSR1HwFWHWaXR2WzTZ1NP1MW9twBXVCKqStPnyetjuuRt4mCadwS4dKSmWc3QbLnXyPdScJ8r7X
jmmRiBMXDxL0bvStSox2HYk4QRiZyrXhK+5aXdW8DGk97PUi6p4AbXa8MQZtFzXjDy5Z+W5aGm+w
vIjHXhjhN0Q/6C5jSIDLSa2CCdQz9AOOtiHbm4Vln8qagm7fb35CemDVw3O3jl5IuG3UNPdOke3a
JXBFmXEwcHS2RYVY78wuswYgVHTzOUk3Xp10lITV4bNf23xk7SLc4N2OL8zCGNQqBGJEpSR7lQiM
W6F6lkMJIISi7fxdNUM4kUOov1Dvpm06iBpBxUb2gheiOsHmaPaFWXh3Jv8CuMSo4TOOnl2IzXog
/JrGt3Z2LjBJBGvfscvE0R7T6MbPCg9UTWnXQd4l7KxJ71QsZRz6Pq2Bxj+7syqwr8K8mEt5yVzE
Y7Owisk5wEPauZQ6cVHFNtRIKu1qTWnPncQExDuuZIGm6HDUzebeCdPqbpw7/WKmWbn2On7SKudt
YA1bfaT2YBSxtTcweqz61tJY2Lrpl9laxRcM+wINyyzmgC7FgTnbcqZjSeTFxClS22uybeKpilV/
H1Ov+X30FJXlfu2RKza+ab76Qbd39Ep/FZriVAJZsOwnck/amc9UFhgmLAd8mRMfpTp8ihprN5rp
t9BRiKW1vZsrhD04E31gJtMrYSOfjFJlrF23ea8LDHm9qR+IbWcYNg35FYGOWWWpVlEOZab73lBl
hQg4WWw3Q3Gbt06zydohuyuFcykjTE/F3KhN0RkgnoEsJR1BymbAFS6K+RJNXbiRBZG7NAa5tOYq
xf2CwDgJKLPP9y7y1HqJvdfQenm4ZjbYU7Df9GBYyGXoY+YG02TybmTZo2Y4tM4Otf4tNtg1V4nn
fjWiuVe9+BEW9cprWKjQNfdW5kInkEiKecx09+hP4XwjdbRo16zfqmjGUuCr40AvBs9OKUHT1tna
i3oYwONUHPBOHOyJQDBUn6dkmDL2Q3VIGZ8jttAW/Z2BjsmYk+4wNMpj1Y0P1hy3BI9hyOQ9fqk4
nb933D8DWFfVA61FYJ4IkJGpLGBp5FPZb2xmX/DkbbEdVVWsGs37DCPjVWBcfdNr27yaqPTo+PZd
LTreV/ZnYRTswMkvbiSxlxMZ++qkauPLLYaAe8H31ssYGRXfUiDKdth7sGJXrIOtDW3p7EpI3O64
sbj3VPNEdF4M6Vbn9ng1SjfE1VQdG150JutdErMZm1jCo9XzFhVetJ7i0VjTayMupkyfRtyu9+EY
q50cElutXJwW9ypWFQRK+JOwXG0qgAnUj96NVrfgoZ35uSNIsFw2GZuvldtFhNj9Ex1V6EbRvjYK
esw0/RoO7XXOWfvFHbCLliW4LL41ORieuR0fh1bdStFdKWE4c1vDpeHME5/7cAymCU4uffdRMKV8
zG1suv3aNhMbbRLjzk0J+OHGKeoSowBb4cnFnK0hs94aTZmd/t+C9a8Mfoaw9f/GgtW2Cf9Imfxq
wvr5+/4wYXm/Cd1a3Fx/1xfoC7oVmFx+YRsyFf4eEDJpZEA0JtZjkEZwXGqz/phyf4/qMCD/Q2DG
kpX4s0seXzwmK4vgDLI0XpVl/PtTtkHpnRdjUo/AZ1GEoy/IDzNlw8TdgnFmrUdx8zmqvv5cCpuO
f5qHf/9e/tyIh6vs7746pm8hCO+Zpm/p9l++Oh4kml9kmx0K7rVnNyJaT24aQWYuADPYHWHjrl6g
foboUD8F+WKLuQxMXsUC84kGc8ajiuA6Vq3MIbfgi4UQn4VkYbCOYDyfNPk2S/oBDVgyiZpPYeJO
CkFG4scUHeQ1F3QE3yXK2hRbY3b5SVOD5WKqoE5gejSx6WNCtUznvtYQ0JqUEK03DOMtjsh5+xPa
5vYWqQcbnBpNDqTB+TbJQYYDZVKmX85bwkvkZUGTHCY1paiMscUiZ59PnMbNgwhnpR09pH2ukniL
3O99RAZgO/guKxW9D6NkU6hopBMsizX7LcZoz+nvs+uJT1VH+IludBYpw21t0Fy+ciNviLiuaLFH
0GES0f0Q6c4WsktRW6uEuzkSXotZYq3FumkfhLX8l9zOfPd1bDJZ7vDL0PsAScRecVNHLgtF60Zr
MXiz6XGLxBlLJWPhhMgaK6xVH8U8RdfenapNRfAHW5I71TT+RrX3OnOP0ZDiBkjbZQ1qy5nXHb9a
ATEh75vW/cVlV9EGIO3NfY4IwfRpVOshDPvXJr/zPT/fcbtY+ERevvP8rWx6DzR57iByIkXXVi1v
6zgzeMNIF4aOSqpAm2hm751pfEJBzV71eMpWbl7GgWnzBO+SzP7SyjG9JxY3Uhc71msKXAltgFU4
dJBl3kANoXbGcbVO3KY8JH7ZHa0w3xtC5FQxpdldP5IiW7la5AblUEP+GxxU55LA1fQIjYB7Idj4
9sNeEAIFWJD1yGr2kEX4xPWhK06unrfMOhbOmznJWcPALqg1ETPYVf6nAx6LTEnYpLe95tTvUS9s
0HFy0i+MyqiSXSq0I+ANftekl/pds0B8BsBuz6aRP6aaNN4cUqxRAK/mMzEc8exQGs110bSAuYcU
X7JPxRk1whExh68wbL33GcvKxpcVtxyeCd07vhKaipNmL+LBWmVyOPUWJug8Y6owe6pz0d/Dat9E
VnaofOGcw8oVb6OhvItwSyBmxtAd/JQUWmlNPqulqn1s6QC5moNNAsUszBO0wfFCzzhmykjad1LG
4gKWJX2tyzh94xXNd+OozJOq5nwPCh1mzWzlnzLqHGpZaHQ+Jo0533IR6tmmEZctEokME0rPRcru
OHE1Da+WBtXy7E2NeefPOiXYAx+JfT7SIMZqN0mOJRvPq2ITftM3ZvIytjpJepM2rLPM+uTcAY1/
pLppeKC+Tx7NLCqJqCT+Gzaa9Lnpne7U2ZWvbRAq0qM+u7OxFUVc3NqM6Ac5E/foZj1a66nvbZEx
7B9239Q7dL/pZUzx7+OAOZSZLKDGhGeC9DBvVKyvhp++yTI6GL48TbY+4aUx2YhY6ruiIJR+tDLf
L92Lq9JmTSdEi2E7Kd0tPn8ksJFCTxLa6qTXQwJte0oCp7SGu7Ri3xln3rSvcIffhdMwvaoqmT/t
UPR3/EDCK+0L6gXrlwgoti7WfE66dVWMKVQ2K91JK6WFslBV9kRjWr7jZefTog311ncz+R0iVbeb
gUBxuw11czM6owW3pOlugYGWBpaYaWFw9jSUssP9MRsx3j0qUhRvZS7QvgEsYsz6cxwWtxKDysWo
jOjV8Pj8z3Q2bGEoaf0KfIJ+duhGPftd5l80LJt309grDop28m+oGc13fk5FXq0kWRE+qEelIms9
4ywqgnDo2JZkIjrKil0WSRSK8ZRZnlWNR8A1edRgszlpjp0ejdoSDw5lFtSJd1oYtLUzfcbpwJBF
Yq9J2HSk6b5ljPzAooqbM81QgzJ6gurK+Jayqz3klCrsaitJHkWTtveRi2RgYAJZadCXYABNWf3U
lsrHY+TO556NxLtEouBEE8N9nlQIBXx6XGphBzJaWD0mmutre1+iFh61qOh3YSv6S9815hHSULn1
krp+Hmy7vSVFE66Jus87MxnjO042+eYwgX94Xen+mJKsw2HXYdj3/eg7a+90wVtg4Ojkdqg8dZrG
1l67AjlBI5OSMX20rIhElg4rvc0pmCkwRzB9DiaEkVlLj3ls1XTRlN2mcmV18OwiIUPjpNmP0hL1
tvX7+sWLSsfZWFVUfJhR5O3KegzPdCt5p96jnDxHcaQlycMLlYErmQzON/TeLr90lu5fU+THcyam
bqO8FkdSpXXnsNMwQVoZJilKESkiLtULKWtnZUgMRQyU4F2R3gZ1J6k0upk1f/rSqT9VK1+hSFLD
W0cnOn802o9tQPBU4DBa4epburlTcK9DJx32WmG4gZFUwUIpzUuCcZfHEnSLzMsnsUpDm3EbZWN5
TwyJScBEq4HJAVEfK9d7J/4it3pivluqrc4aI/2DhwNqRabXvBk63+IxOBm30+IYh/BwXl7AY52b
YjeT5eipelpQt8ZZoTBRXUzzLHk7WO2RYT65NExsRlfDO1RT2a7RMyNXJNc3HrY/mnCSdk0FjDxg
omvvIGhan2SD6DQSnaRYauj9B2HjRC/r1tjqMSKsHaaxxZJSWrdZWDNwGP3o3+URwEz4ylUw6Mjx
IbnHwCksHfs8vhyIeUe/M7yNSLT6K2Z/QGnShP8o7Gp3j+NRBm3eTmhGU4v8n8vbbJL1HiKesae3
qwygeWjBMMz+vAtF475wFzAeRxRTiltswG1eoam3gkz7Nszkq13n7kZL/TvSJy3yfaV33DsGr90b
PPKiVdqlMeiURjuwqWiTwMWrQ35Nq+fPRDbM0y0MwaOhRrLUHG8T3gXemhZ7tDSzb0PupluRcFgr
0DkpdubGTddmPXP/wAKvLmakaratzXOpw7HtSQrIIMSjuOO8K6mGVYALO/ZxWiLcvQFd5uoKd+RU
cJM3LmgONqMUF1U9kZ2XaYh1OQO/6goQugc7j0SwCHu3oE8wpzfoy/bK1Suur307beh+Ge6dpolX
A1uUg6NP5ZXVN67Y3HQa3hy+i59mjrG9ZMYOjWA+k7jgMj1yUy3hkenDQ6/n0ZOeVfmTZXAHtJCf
mIjDur7KrPNPc+ZwW4ns8KC7kvBCpKcmBvuKEwyfEpWeqF/zeozM9Jh2+PrxcIpEccX0qz0Lx6j9
MovUbf2Mxfwk8KcjetyEPTEtko3N0c6xDDtaa55x5kwXv8b942cJeauoHo9xOcybiIv/64y1KrWc
R3Kxw1oZyaVMcLrkpnUsMld8S1zLYPVDTrMO8dCv3MJ5JatnHCZioKt+iInvKvA40pzfmxgUravd
eRL91Ae+s7QtosjXWAKrrhx2uqlZQQbBmhWGcUpyUWxo03jiZTFR+XGtI+GotZlzuWEzAfIpMc+t
bb2JFifs2HcK/FWWr7PMw4BS5PxgigEDWsFOmlCOXFWsUI5YpU1Mn96WaPB0xOl2jSfLeDabMs8C
b6yKQKe4Yivg3QezNs50Oyk60qqJxa9V7Fy29iu0SvNt0owRtwtO+ML3dn5ou9fRibNAOmV2hmSd
vWutuzGWiEXRtc5eauF0xDWln+MiT8iPUtUxew3HHMubQyJdbzu13RzIFu7BZKlhJasuupRazsme
pdMVpkK+puZuk8xdwZwgaV9zJNb+fz4a/v1Y6tDXCwgebIXjMR/+OpayoJtyKq+TA0otY502woxu
Zo+ntA2R8MHSSyZS7lJ06Siykv/8i/81ie+D6nCI8cPat01H/JVzQ3yocaZZJgcxQgmf0wYiU5LH
Vy/zs/t//qUWOMWv4zfzjMf/l+nXc5caxT+P3wnxG4f+Dr6UNICD8hmZyGJPUfX1z7/OT5jMX78Q
S1yWqgaLEOevgImsYrnVZG50UBKzUuw1i7L7k9iddLcsGMBO936MFXuyinfpRkzUwwzwSwvjZbjG
zFlufn5L/9uWgHPy2dCG+qP71QTwU+L4L4fA/yHjABgHh+qFf2wcuHx9NO9t9otl4Pff9Lt45Nu/
4SFAI2KX6ui2tfx5v3sGEJWoHHKXhgoCeUsU7496DFJ6UFGJ9zmI7i5VCLzXfpeULP1/IiERDvn1
Xaxzi8KNYCHW6qZj8439+i7OTaXR1xL3N8j/Pk0scwbMArOQSVfEVN70bmJNjDYJFZHcCLA2ruDs
Do+21ziHdu7Ch7zwwpkstGksveLOlbPcuRlTFDDMpBoA7Rahk91iQ0JgTtSr1RbFpfHcOl337JK2
PhyBizF6JE3IMOHW7SkogErQBsQjzEsHNZcuB73e6r1X3GaZXt52w6Du/dLByUWxW/ZMHGw4Whqh
rtUIj/CViSl8VnqsGavaq/x7zAzFfWN0TNHZfIBbOuLgdKNbB+jlPYTA5p5jMNxyT3GucwgeVRtM
pH7pz/gOKRjrHarGrJ+tY9TS5Y+KdMU7vbf1nq0a/WRUTgJZrGV767hO/EKPoJoCfSk1MyPqzfzY
FQ+uvVSejU666XWLHjRNL8ebJqIczaMljQc6fWnELclwWD01avpSqFZ2SMY6HWvZSHXGylyK12gQ
SW7qpEwzTM92+y352dFW8xo+5Utxmzf0MQtUytyaggfKKl4q3vKl7C0tIfBxyaUCzljK4DRa4XAI
plvikOCqlsq4FhjHXh8qmufiUt1Ab0yIoBQOOM+lcA5ci9pmo58FHbfSq4e1eT/x7Du7tT7cWEtt
Hc8v8x3BrTpi0u8eHA8KHiZFqu5KQ5IEaWKygmC+1XleSvFq4WrrMszLO63TzYduKc8jwZr/mDjn
Ho2lWo+NcHktWlu7mPDUI1v/T/bOZDtuI9uiv1LrzeEFBAIBYPAmieyTyTZJUZpgUZSEvu/x9W+D
LlVJtEt+NbcHtpdNEiISiLhx7zn7tM/cK7L46Hq6t9US0GfWhAJSouTrnMqIVhVBfoBENYyH9fil
Gprmhjq5uIqX6D/3LQUwfksEpG3kvi74W6bCNViOlfaWHzguUYJyCRXMmyVfUC1Rg9MSOpjpBfJI
okCQdMuXXvTOKeeEuMN8W17L2gi8DioAOdmEGYZLrCF0UBIO+yXssJyJPUwDAhD1JQoxXkIR9ZKa
J1qCEhPK93IVL/GJ6HshTvgBEoVV9ZawyO7TnRjv2FiQCWCMEvZVFDfxOtZS6xlprf6hHuPxSi3h
jaEkxjGyS4s2XVn1d7Ao54/wYoVF1VOOJwh9wQV6oHXj0FKsnTLY9b2d30Z6095zrhebxDJbKvZ+
RgNnGLm9QA46wJct7kTVtDbR2UOuEWFKoPQB0TIRVjgyGEnFALRxsFGe+YhYyMSs/eyJZaS8nXK6
RHlQ6Zu+yywUNKV+xgNP0UbDqPRsoPcb6rvqJguy4KYOpQBLrsxPaZRSgfJujx8atDAUwE43PSiV
mIFHnCv52bER7i3lZ4iJenp6mWYPvteTutFvidDQb2LfxFKnWTlZ1RpHhCfbQPyEsgfuiCerilyW
POIQNWfFF8ZyEHQ7lY1nc7aZzdJrjOASTL32FPRN425iKFA+CsRgXJuRERfeHOcV2hhkfFitnHK8
QzdhfKgbUoc9dJZ1WW1TVVj6eEYS5iBLALKdsXtv674MMhcC+qScgLZD1+gPJNqIST0GdoaMoiV6
vMeVmPG2H+dSYGUl7QYjYLmWvUiGhzoeA+cVjLQfMjSyU32wHrM+Hip745Qo9bcaWabxF7JPSiOh
+YqmgY2Lze3vOuCvrPym7v4yJuv66/CP/UtWUnnXlHu/qxIPX/73f8Tv3/ldP6j/phihvBn5Bdv9
d/qc+M1itgMKnfLZXjz9/64EKB90xUNGF4sygknTvysB8RsQO74cPsAiL/zvgrLeV7fMk/hBivBD
Hnn0g0uV/8NwCcEwWdQO0NMkRx5NGCcNYRU8/VAc/ckUiV/xpxL67SIuNZXF6Z9/vJshtUWvla4L
GZpGUcUYtJnXod3bHk3SdvPrS1FW/eFSkttiW1K3dct8d6kiY0WKAyhXIwqAVZRGyUkI5OhGQWZw
GkQtArZaA3lvScjJDEN+ffk/3E5E0jDPmP0ZBh/a+8MCtk2HJGVUNgBLLyKzPzh0dH59ieW88eMx
wVkugQjUBqvJvqreqT1BJ02d7hvV3jKGy2iZT41L1kMncIfD/v7664uZSyzc+8tJziNUsBKJMdpO
/v8PD4gZVLSLcMzvmUoAdk0yowQkrWVIJFiMU8zQ0h8qoAlB1eory8QGsqpSF81XltRZvaZyihjM
B2xyIcldB1xiLjT4oncR6acp43nW2zhficooB/CH7qqmqDzgYDA/i3jYsR639CQd5nZ1q4unqXHL
ZXTUZWucm+Z1WHUugSWJue70aXxi6F5fRSoYgpVJlRWSheZmF0Wj5gMg84KshppmekCihdWCUlZI
4oiSxuXVBRyiOwJhVizX/pqmagUN3Kq24BnnAxvKGUtEvzWz7Ju00/sikq+Ybe/AwhBlLJ3sWOrj
p4BGPJeIFfkE/EwyO+Z1Us7VLqksWte5sbaaePhah251sCGylgDa1pFb1Bsp4EpRkanrEf8j/Vvl
H0VgPtmkVR3jEDVL1eDPjvr+q6k09zLCt1lPRhwzRKyCS6sgEXQOZaTbI28D9IjD0u+hiqf+JtbH
8Jw3ix4Eb4LvwF6wmDYmmwFlIWHHwxS4TNRibOxRYbuXyu6ddcjxxBNOZKNYiWM4H6XhG0Qj1LV6
lLmtfQiTnpD0AlDDxhlHcSmMpD+ldUQSuommAQlbm/GpWuEJTUx9LgiHAXoPRYhmC49IVsW3VVFM
XjzkxqafOrHto1R/kgXMsamvRiwNkeg+dpEOhMDTJ+NKm+3gEoXVvMmjwgC4k8l1WKllCBgZ7mFG
B3yFtKq+K+e8vs3q5soHkfGRVmB7kTgc95gJjLMxmmqf5TwLSPKjbdfm4y6HNxYmtYUTJsKJFtvm
uJdN5N7pKoh3xFXU5znQiluoUmvRdNOZ+V+JxofEm22NPu5joSySp5k7Ud2PFqh8V3Yn2pYobeZQ
3UZ2s/V9E32N39oGA4OAiUMS4hi3Pow9stTMr7BVDHekqjxiCuXc0MfaTmKfPNETSlZRCJQLUclw
p/mDsRMLRcvQS3ST2NMOVtnA2HrDbRGfVNxkbxCuLhBU9BrupjvTr6aXZuF1EUfNaS+ItVMbQPNC
zoq7A9EsiK+M8Bh6yPa60hcEWIDGkPeF0RxeVRhhfhlOx3HhhjlJm5NmB0ss8P3hNMZx7NkLaUwt
zDFKaTJLkkxbCUkCuiTw3iMRBYQcUM4jcyTjanRNZ+vH0MwKPJ6cG8DwKTt8MX3zg7uwz4KFghYt
PDSBtBfCyJXmpMFDUuhyxYmOdzuaj+jpaLcvZLVZggPwF9pa5RgLojk+a02F663y03VezV+AmIHj
CHXC5x0/6A8+iaUbQ9PvMAlu24XvFmvMpAq3JKEVkjR9fVU91oZmZyxPg7YuF05cRy//pVnYcQWa
3U0zbkFemRfLKl0vNxJG0LndN7edVpovrNvOIVqYdLoR0qlc6u0wxB20soAAXvtvIDvTL6fHwnDS
KxakmV6WSzNPWB/rhYFHCqO2Ghy/8OA14hfSw6vAyXchGwDwD70Ho7cEA6SZkV83mXNIe/GYZAwk
USZiA6N3K2tHA8qh+Wt/IfQFoPr8hdk3A++zOyFfOp2ojbgz+5uS47q7shbeH0uCuokWBqCrYE+q
hQtoOpTHxTAPzwUn5RXVEFfW6fcjelK8QBgNx/ibyzHlg4Eu7uIvBEJzjhVdWKT2BsxGWJVWau7s
hVqoaI7znqjxS7YwDQn1JakCzGFC6/7JCi189y6jHQ5r6QIWIhYspje3SRdaYrdwE8n7AKHI2bnn
yOhoe4QzCiOU/WobJr2F3uVzr3xIjE7s2Je0GY1dvnAaa0GGmN1P0R7gHZ4yBc8RKUJxKsYOaf9C
e1SRkexDLQgI3dpkCxEynUJu/0KJNFi51kh+HE7eU3oxCZTyLN1gcqkRcPsggU2qAepki7jk09ir
8BqA7fyhAU5ZvGEq4xJiZffGrlwolu3Cs5QL2RLwEIxLYJd5AvXSX/iXjO2bA/vjcOhjZIpuxXBK
nXBQTYKstLTpfq8r/i7y/7LIV4Iy7hfNPgTS4T/WL8l7ZJf59o3fG37qN4xAtProfEDgEj9ljNPw
k4oCX1CY/lznu3T8dEVkDt1snZnSD8gu67cFrYU3RUfhSpn/X2WOS/vnynipSZdGPUUP6jhHGu8r
Y57aEjWzLa5m2pXBvIvIz2wpdATpCoC4tFa6KGRxfK56B8nPir7//FETQDw9ERn7pi+1K59u5Waq
tGwbTFXBoj835yLI92FtdkenghmJJk2dii7XHioEXF6RB+w0JKeuENGoh56T8yPBjW2+6gDA7Iyy
IueviStPNQRP8fOMrag4CMOX8M1dXHEI588NYsUK9rACz8rM6qNwZbkKK/9umKubscGHxH0EWlAa
+6op8fTQ//PsVB0NydLXkUgYBtWXjnp53cVl42V9TYSdmU9nxCnBZkBlNfb6a6hBvqjSRtsQvGls
J32ed3REgOQFYqflVv6BiIQYOVBCLlsqN0hTbuoEQbIWJOhwRGsShZs5XmmVrJiZ4vqZwT46VXLd
5tCvp6aL7iESFevMICmtBI1KoOwEihXIwz5o45t6cnUKvWTe0A0wVp1wFerVEu0xR511EGkWKrJu
RF+XNsckss+hgb3EMLP7BaK4aX1752bdvpRL4YHCYDVRW3qS6CXsq/pOA1Ph4YB9QolDwEW7/BIM
EddtB5E/ndCs1pamWGe7z1lDVT2OlLXIrU5lHYEIFuOmmG0GpWm5xWaRr5nzwIiwFuCXpfYu7J+W
KsRzEkGlOvva02RGxcrUOwt5fkkuTIchl6gQOCnISw6igAYCtoNereH0CMHRprBUWyjftGndjLpE
8YU4wHKC3dgp5Ck47TauEX8qx1KeKszMU+6DMLDMat0RfAw5JdiFZmezWhIwmdI3SuLqUjTqyRnn
q1gM9iroldxqeaRvDH0Okd1nL7MVfyLgQe5iEhy9gYIUtkisHSvhfpWIJUAEu9aaZ2LZSVZq4JFw
6uDOLWJqgiCZPLHkiCZB6/WOMXuySXUG9tahErHxaZIzdreakEwt+Yx8fdyMoVNu4iie9laOl2qe
MVBrKc8C3d4Ka0op9+FMOrtEduUB9arWiVE/a03Licce/bWiW4mvfqp2VA5yUyDb3Ko4q7e+GT/W
nN7PuR5mW9P5HLiNfhwDu/KsUmmXVBpAo7DmyLWdRtF91uOQyhulr7B3TbsycusL7Wpnjbg1uZ85
Dq6bZj43bZ1unTgZNsIPFbGxHL0sodubfGRS3QpNv41UDa+IPuIGAWC4AMwEVlqTisqO1cHAjADC
zyErUwSop3pxwjHVrTURlo8IBriLDlwPIWPbg00KVROp5Eq3Fl21FeuPIAKRDGoGEOWeeJ42LG3P
7WZjVc9J/pDA9kEF0OlHo21wNbhK4WEhmCyEOAhIbGxh8GGtTzbmhFSAP2p3ZXNy5Au1q7yIUEYl
6lqTyeeIHZv2+cIdqGhBdk6vre2Z+1nOjbW3URSuSNX4hrvFWY9DQSAmMwzE+e0DVuYDChN1dGYb
XW5tLTaNaoP4grwclIureUjVWkq4baJyX7s2vY8mbIFGd0vMdAumNjLwKWlfMzlPWwIHT3VrX0UD
X0/axG5QhMTmMs/hmWlkpaEjJE6UGgoEIQhTGb1URYBPzZkfGmr1vd0nZFMm9lI/dq1n6M60ERFe
ixoJj6cHqj5Pwt52mXhxyX4jaSs2EXw11oMvwsDLbHez8AuAQMa7UVZf+yYdsFxPPqCCmIo2NYyj
TwjpNk5Fv0Ec0hAQChmX8sjZw52+If7nk1LNVRxISHHW+OQMSOih/LVeOpnqADwpv7hu/wGjFkle
pf1VhRgFe39xbQTpRRjdyZYtdG9HHKOCo7RVFOk5RcqKiuM2DX3Ed2boeMggvhEgonOIZrZvzV2x
k5Jpgk+TelPB+rsiig2D9lg79CZ8d5/SamjM8BMCTfcySdR1xHSdZrUwxYky3rZO2q9Hhyvm83yp
0A7cwigD1MMmNGp4L5OBghZJWrqtO8ta6Zn1UFJ2rxV5NLiHmkNQ03buexOaegtigHpXX4dZpT6m
yfg8+F23tydQI52AmxGkBFqKdiANcNS2wKUsz85696ZN+1s9IPWtknL5g0Mkqxrfay2BisC/L2Cp
bAYOr2MVDdijJOFoofYBgliMPHX8YkZQU8y06wg5nWvWmqhmruFjyyOT7wjphraKxio3OAQodTVT
CCcVJr4r09oGIKigB2C4GGVp7AI7/jD0kcXp2rlMbQPJtlr4Y8E3UyvtY5qn/lazSWeVJa4UC/3U
xpCZfnRKfCvEquKXYFXd1qpGLuxMzF0+Q8/N20cZtT4n98DRKjfHOqdF6HJG1KHF8NT6fQbpK+Zs
H6ewldMhc2AQ1S7CGRtW9fKS0WeyGhPDRoGgxbNLJfxHsxtyk9PyNNV4tjZWU7B6J5zzsYcwRyOU
9N6Uma3qjwVYsTk/1mbf2K4Xk15uWyvI5pEWMtwvsSzW57ea8e/y+i/Ka9Ok6v1VeX35uuBwm690
Jv/dP//nd313YmC3oIr4Vw7LP/vnrs6M3aKoFY7BQsff/9U/N9VvimgW+toCC4f+1oj9bs6QvxGC
woTTdsmmgCn/X7nvSZJ53yAVxCwt4hDDVDpd7HcddBvBshYOVn7QmNsa5Q6OIcF4G18bEP+2CPmJ
dCZiaLhqBcflrKmmtdGMnIRxuO2rjORhwrlhnIEQMK4buq0XzGLJRuFfJ8tV0baD5cVJVI3PwCEr
gqSxq7y4ASBSUep0/VwLi3UYyI3t20iOy/bQm02wszDrramEK4+8e5BoiBN3E4nBWO1NWaxmd2y2
sClIJ8zJIFnFU/Esy8p5yesmO3RjQMxipLZdY9trHaK818cRkY217+zzKWKJDhmwLhZDBtomhrjn
0Oiqnei1+UiLZDHOCqU++45dwmTMyhQpMsX2uain9jGJWwftwKzfd0NN7gJpTn1nuGeka9XayTh7
p/Ch4LAndDDtDnpnhO/Nj/V6V9uIOYcI/ReAs7uiLOxDnSOlVRq9nRkH3k1uu0TKJYgFx+SWdhVG
MJ8INmManE0aNIRE04x9qHWT9a+Suqczr71y47E5dM2sESY1Y1vHxHFMG/CADCwAnWn0cYEnFedK
wajfwJ6hbYw64WJE2No4cNlXAVTtHStmxgHGJHBrbua7shfN2Y407H2duKgxG1+npKNzNMRY/u2k
uZsTvHGMBtOt6opxrZXjdC+j2P7cYSUr8+mTnkUNxyQckF3PMcQUMHl7kjG3jGMV6coqmc742ONz
YGXQFjgrhd5IybNxMjayCLzDHqdkva0U/u1JJ5UOCLpg2UVQXE+1+xll2fCNFrC7nZfaD31elm94
b+SdnIaG/TMuH8POiB/RvE0vANd1OKqzpZ81GFUnR1uW+UznQ45c4jlLGm0rlmL6x9jvjz4auRvT
6ItzOhiP4aiBadOQnOwdZOl3Y1HhqSFh8UZktXuSFWT9VYl2vfYi3P/2vtO6CFAK56EeAbBMEg+n
CjAcLD9xLnp3NY+1uQ1l6XgCw+LiAhfZfuqQfuazCxwa8AXQvVRQsZoDcsN1XAX2GkdotBrFnN1q
mrV3rQo0WJdX51qJlyKtbP8KNuwYnkoj/aCi2r7PkOr6mmNoUG876YtdSm2b2PSZhtx9neVURZvA
n+abGfbDbdMJJ3t1cxO3p8yB1jlt92iVo3mLciXEo0pldpF+E8PAJ1cySHP3OBS2AETjNzSYS2A1
9+WoZfHgRVMfcJyzk/pRpINM0MDqSQ6NKFd2YR9p6juNBko4FvoNCyX3PetJkvTRFeOPZQygf5xD
6iBPZ8u+hpXGSAqVm6jqTWNNxl0+up3/JV5geiT0uStWOIA6UpMbHcMoT66VIIHIEBm6tTQS+pgp
sA69dePPNjpFbU8QrF4crCKFC8bMBDFt39VUn4srU54HZilP6Cqtl8SwUangWjECapVW71d5hT+L
9EP5BfBDm+wAOPRwRqYKKkGvRcgBWpAX7oaECy5JNnGtVtmoGxczmJm54G/BbqYP5Fez9nFFsI50
V5G8UIzRt4vNVY8jCA24M4kCQFFXhWZ7StLB0tcFE8lVYI92sNEJFL6hVzduLQnTQ9fTHgyUxT32
lOFPl3RwBKBUranfRLVw4zJ32C1es3PuyorAZJf3frT8JaJm4RR2JgYqQ4Q7msHOrsCadZuL9GoO
QKqvasMqEN0sQxGq3m0xtJJQRgnUa5X3EWfWLu8MfENKHB273llaHi/vKkWMgbJ2UweFqW1RJusP
dkpqthLEzns4dbSV0vL82sb7eu/0trpuFeQTK/YFZmjTPU0mBrQU8cs6GWWwa2ss2+jkO06qGXlb
r9VUfWaPqq8B3eBqs33NIwgakYTQK/0hgJG8xTEBqQ758R2h1z6bQ07ELfzfm6J1tG0KpOjY57r/
Ogtl3U6+sW5sFRxYOv19xo96RgYcrekyOx97g17mqvXBqMYE+J5svDhnaQlnhaaYnIxhinFWmxjr
yYC8lshr8NnK1Ui2cewhlzAQ0PSm3MT4qW+VG8cbJNm7Js3Lx9ku2sOk+m5nkKW8s/rMqkCncLaY
G40k15TYMCSYQF3rUQCDNJckCvyf65J+0Grg+g+jK0nINKDCBJx3b8sp4GAyL0ohkFM7xS+wRXJO
QIQxyJClcZbPpllhJugtt3zpgeueDXs2vvaMC7ZWO5ubhMnZXpGy/UEbuZ5wobqVDHm2MQbVTZ3j
mEj0oXrqeA/PIBbqW4vIuCsHBYuHlTu+whUf7Soz7K8T5gQesd9qn879p8qR0dUkw/ADWFsd5J/h
8kMaRSWwxCh3Ds2YIjP16wYBa+tFvPm3VmyPUIpV/eIsOYYMl+jzzC3eNGtc0PeOOmTop+8SFc4n
I06Kz0MTVKtyhO2d0N05hHrwwa9zQptziAgp/ADsWxOx7CLhkKUb2vOY+6izwqI6I92aTqbWLE7E
OmDExShtLQEUAPY02kdNdK1D5yaA3CLtceNqA+PgflTk9dAr9cA5wLWm/cb0M3MEpz89+d3XqP9u
c5y6usfz5EfWixjxVcOmi4GD6TErQV0TUcBbhTvSfiCdxwnY8oIMmtWlUcTe3/1d3/+/vNa2WvL8
/nP7/D4svnz9x6FJX/IvP5b4fFzLN36XyBi/IXsWNM+VSz3/poX5LpMxfnNciWWItpPiHPavIl/C
0RIGpwJK/SUjYzlnfJfL8uNQvMLkefNov3Nb/8p9/Ts+62fBBfIcHeksZ200F/Y7SUkFga3OXOwS
mt0ABZzC4gEgYcuWz87IY289D1nfnxHBRqBkyuc0sLSDPuAdKzq8Ahlrx7oEwHHn9llOv0d/AjQB
EJqaON4WcnDWeIsB+xlwFiR+iG084R1wGvu6THs4rKNxG49D/eKa2VkN6dnUhh3GL3/d1haGzSGz
gD10Dsya6Fund9E1/RumYXZJkz0nGFXXAOaNlkDIp8+nwtVvlQH5yq2HF6Z5I4kydAfkhGizjb41
2GbXmRlMG7twrm0Tqg4aQ68M8m9ugtfJ6AEuECgtI+j+IqH2nG9lTK5GwFfVsbYaw+gF2A4EB/w7
VpsgETFemVw9V1OzLVIapTUs4g9+JffEM6jVAG1/UzSLthh4uNGaz6ytL7bOJEAPhnu9Ts7LHWgz
shQZlX2LSzIfG5rlWzPFh2hmtLq7pVWCs+cSmMO9k4/KQzcTHMA1vA4+W8NCRAkC0t5Zkg9zmkaA
JBtujK4D0IyOIuwEXqHxosLpfijlc2gmx2BMX+oqfgHmxLZqUnwo2Wwkv9Ago2+woW9lymc1mS0Y
6BKOskyOdG3RXbQhy46gOAH2ih8rxMxE7wLDIqCvTZQsYFzgaae2BH/4Fs4tw+yl43yCW3Km6mEk
4C3XKiVfgAvqdmj021YgoVxWZIeWsdbrp9IuNJKew29mypdZRnROkvFEEUWQaMHYII74DQs5PaF0
ZkrcqpQeGdEdxJfQMoqceB2S0nRVY50spvmplpywQmu8ZCCXxikHIBfWDNWL6IUQaXcD8R/B6nzq
RRABCK5h6Ff2czTqn53KvHERYHhqYGgC43W2unpfjf1lxvsYRWCIMTzuAzo6qKEJ8ExaZtcdPn9V
TOFmQGKKWNcwjy4uJMifLaF5IsNB2+hPeWC8uuZA2gUZCER7pEfD7i9V3V3kmH7LdByWuiradZeN
F9PHJJREOCJTUbhQYrTQMwwSVN7uu5Gra9eVz8R4xVslreuSWNdtu3wfv+cqHNlcBlM94ySf9iBU
Z8DY43UptPITUmrXQ60zkRjv93em4rFLx8D3GOzgwHHbfl/B1sfhaPWHBhX1knfHVDucUuixZXaT
a+WEWy/tj1lIoS201HxtjebT1NfqynCSclHrFBFjohoMTLwmqtCErTcPL75dMO1HX5oqSs4qf0py
/ykbNUXYhiSeAoIszNzQv5Z58okDMWCoMWXAoCZvNqN1SSwq9MwxNNY1bEPa12MdHJ2CdFFlV9dQ
+m5zKA0bwFlPhYbKBiamhXLXehnzieCCXHB6IU9ng49/5djwUcvZVdssyshrmAr/likHMoScx3+O
xWuByA6bVsZwjn6BGoWxNe2Cz23iFegwEawqHyDOKKRzg3qv242Ch25K7GdbU9edqIaD39fftKE+
SZX8FcnifZsGmi0dHyV59W1aKYus7gcdGyYe2cUDwHDZQ9ODstYiYRmvI6s6z76hVj9scbe/7w4/
cjPYed6p5gjSYUMzkSFK3EPvRHquHLpcTXZOcDScRMQhGH7NkDhLFvRfX+m9DctZhKCMlbmYjl1Q
f3elwbahLPllsRdkBbqL4mhZjil5Gdg1pCke+Dd9++tr/jxKRt+4XHOpt4jEdpd//nwvAzN3Qwfp
836CqUubtb/AR049Tvb7QcOXt/y+acoQo2EB/PWlzT+025ZruyA36Qdahi3ftdvKJBjmeHLyfYOS
jyi5zOGwQSoey8UJAmyy193xdWignSdD3x9jbJjrmsM4lgT84MhbA9JRuwCFG93uvetmJAh39QYw
LuB1lm9H0WMn+YBeQnzmEL3NrP5+zIIn3QrBZ43yGjC1hlO4cHcWhtSPgQWxUDosD7/+Tf/kEQL6
QvOUCHKwK+/DekUauVkhJMN1Aem/0G91d76FcVX9xR21/uyOogdYSitm+qjTf/403cFwRv4nz6qb
ykMzjreTEdEASFmEc45X68ZJzm1gZHdpP93arZ7dMbiIPDkH36qedXkpVWKwdStDjKdAa0CE0hrT
XHVt1v0udFjurTLKvCAguKYaxfgcWJAXs0CUmzGaolOn1819noxPY822j3tUHtEMZIw42uIEfvIb
BT6TnyTlUxydYgdr+5tfzE9O0G3ntmHzLs19OFn7MMxJKiHFBW3QeGIAlnIen29pKpgrQZTuFk3V
p9piZGsb1Fi//sD+KMylcYq8A5s9Jl3LefcmzrZWVFIz8/08QAGhnBhZ2QjHUCt8RvtfX4tC+f36
Ylrgx/m0EHBbi4Dlx9WsFlNE2NWU762kv0epeMyKv1ow396kn+te11aGkBAuDOEK+uQ/XQOhJdQB
Xc/3hduX2yaCJC79GbOleGVSNNFE8I+JkHtXE9eD75LiladHbfQ/AFr4TOIBml6UFoyWYnOPXYFN
1mV1KqfsbBjBt1kNJufUKNljhZ5xxJjDqqNrepVGaoNO5NFp+c+KOc4BJgY6M4u6hTBhjoIM97ei
Ji/UJDx01400FXURfbNyHsEqSs79mKBODibPUTEFqjFQ/aJaznPmwr3e3he5wHFtzr/Ttv4jp0n+
yRvLZ+EipWcdRrQvfr5hi/OJHmmW7w1ax9BZssiLsHatBHyvM3gW9OiUWwgtnOvMUrjQmxrOq5Hd
tDHPsp/AK1F5tx18AiJbZRTrLtSfh7g01w7O8FXSq2uy6hhm+xbBTiJeWzUrUQn8dW3H05Muhte5
0Vcgmx5Gk+rQrfiFa23cJaH+NFGIweYOyx3G6B1Cx/vAUt0qRjDA7I6Fr1E9XT5NxuvMT2HLWfOT
C8bn9zHYf7xJf/KSsGcsfxkEdos3E+wP2zAdFhRGQ08P38nXlDjjyh7440i9gwcT/MUnguj+j+/J
4pBgWcNUx7jn3TtZSXMyaQLD1RdNjt4PsZDjx0efncqlC+zNgCnhFXJAwuTVruKYCjBIzyqhACQz
QBGQjNw8QnewcRXWnyhtWsy/Dihu9MiQPlMXSUXoUu2PeWGuzbJ5zeL5fkynU2YvmzGPWWAmL6BM
qFIHwqpmKAwdctuxEB7l6qZvY4eINuv67Xg5y9EElcsXunVyVFrLd5RDvy39rgV93oaH0Rlv3w5B
fg4mc2iT4ph3wyVqOUg6JI8i7+SoZ83DpW4DfQUwl0FKfxGJcVtp0dE0qdYM0tqiPGESxb9oGf/F
75cHsuww2Mm62SyvUTNa14U9XFSwHCCsRON9AsKeVlRLuh+fR3Jw1nbJV9ea9VzFxP3kRM1dwcN5
rUHRDB03mJHqOcIK5QFkZstI5XMc9vcAjshFLIjVzrMjUucjGOAK1DkvcNumRw7FOxDDWOaCngeT
t0MN7Tk1rE8hjrRjYljXfdOv4UlMcJ+Zns8EzA5IdE/YYK/TVj6DCP6r/Vj9yetNrYP1Qrfogpr6
u30S4UJcCWll+8aeXtHg3Dc6+17PMYt4nHi91F9vR+2idY1t61Lpvb3zedhumaQMK4y2r3mVmWvk
0/T+kaU5gIxs6BNBRQyLk0Mz7qZ9asAu7CNAYKtARhu0scFrRbT9uayZqs0B+2I7hy7SlZQq3zav
hcYaE7fTU29Sbum1WXpKjzpvDDBipg6VdcDBkP0wBEjqxQFlth13l7ZnBUW1dl+jx0NPk577rruX
FtnHRarGTVTjqagGouTDATo42cWZoc0IMaZX1UBIqcv23uZ0gC5PXfdsIhwyu4uJRXap5lv7+/76
9wT9ryboIAh51v5zh+3hDWP/R4HqArHnG/8tUKWBZSiLAtrCzrPUef/ssL050jkZmZLdy6Y/z6r9
PVMWFapkqgj4gkn5m1n9e4tNkFFrcZhSJtiwtxH7f9FmwyD381KtYy1CNaYblLucyCntf949XR1V
iO9X2klKo7/DkJRtZpRUhyydkw1ok2atM8G7N1PV75xCzhsDhCyMI4dRc1IMlwkK/clsROYZVevw
VOpEyaDkzD1MKhgU8Plukja4D6gVJT0I0kxqGm4yfxq65HYQ0GmTYQkkTXgvDIIf2J+XtTNbxOkS
8h1inFQ8tDn+4bIk6XRmWbuWQ99cCP6CT2K3ck1DOv2ia0CyHPOR48g3s2wrBtDd3eROILMxfOyq
gZQNQoC67D6K546QRQf3hh2y/4x4ync94ZEkReIbnwZlH7JgzDZxPMO2q3132zYdLNSkmBUTdl2/
ZjQlRnJ44Ef1I6T3lT0yKVh4c9N+1mt9o5fEuJVWZV3ptbNPU3Ff6kyiTFapc5YYp9wfM3YjFyqK
02IKDhmkV5Xjb1u9zDwemGLj5Ea9qoKEDuJQeRhDSM/IIe7MLemitqXZx4yd0/MLCPWdJP12FAGx
fWOOfMOzGjjtSTo/VBYc42EKn6BWikfaluowSrv/mBtkgIVN5a71ySz867KecHczqYlq5gBYdvRT
n/vm/JDXZvJ/7J1fc9pGFMW/iifvMOgfQg/pTEMT20ltp7brTJ8YBVNJgCSQhIT06fvbFXIQYDv1
8sB0qrcEvFpdVvfu3nvOubSKD1C86oxn8zVllg/xfNWpPq0ACiEyHsVpNQQ3aCItZWZohGXWtLxd
GtHg2vGcHs1fSVatqXvnSwKMntIcyLYQCQgjGMWBRruQdRhltx3OOGjiBp3Qz2jZlRo5qafA+p0q
LE3pNISlP3ZmFVkEcKGI102pTF93aHq56BBL1yAnzuMaQRRvAEU0exT4IgYSaKNFjT0CyJAJJJJA
JSWVRCg5aRwIwFKCONW0+GOUzUJEt2irhxqfXdFk8JMz8nur6py+qkmGArakEdMLCU5xJy8FwRgG
+hy6se5J8jEFH8lFntXU5CKISojKQMlgLWuCwBwDGPijkKzmUjKcgXrDdp4J4nMAPXU07Kzg532k
Dt158CVLWpeM6UyQp2eSRx05S1TXvWVFylcf3UZzHzkIPAkwuOls4T+Mak72tNS1YSio2lVe9HMq
hoLBTVWWDJGGTONnVDf9i1iQvQPCmjcEu1jeJZINbghi+ExyxC1BF18K4jhN8rybpSCT9wWtPMsh
mPcl15wJ9K6qXioIHFDR14KUHgh6ej9NogfwmHDW7aXgryMNCJddgzMN4xCCuy+o7oOFDevdkgx4
L4MMr9FAsaK0BUU+k2x5Tisw5zVJ6hF0+pUg1i8Fxd6Ga+9ruXXjTHPvfiSJ+JKTvxT0fOnl/w+I
rwVEs68ToZ4PiH9mrr9damI3Kf5gEwi1HqQLC7YzpCBCDvLXPwKhBlMDJoZjERIdNMAJQk0gpNik
AVKQBagGSmYL9kbPENEKRrZQA/4XIVAeqLcO3Gi0kNrisNJjewmyf1dRKUZI2o/LQXmFHm2nQmWq
WJTlp7BfgKEITeMSeZAZ2u2et/iSWiYdMsoSZXFAM1/LZZRcJMsiFkLWHA9obPkRcf/1rV+W1leI
ESmonXi+Duhf98HAYeRoeYZ9mLs4u3Id0XPaySnC/elDEAsXFyCDSRF7RU6s681HnRsnNPPwM14J
2XGwNlo8ILLRdHh1UZCqW+eXnr3SgtHlyCY3QyZ/sMzvaFzZM+86EdAWahm+btJDuQDajC1NA6Um
EE49bkudfSGkbEOdMrMH/pkdaYji6qqYB9ejMPTPl7ZeGcMi6o/uo1D376ssNi54KNLwVM6+Fxy0
7wdTM6Fna+hPgRVZ19k6WV4iU+fR92y0ch2Nbq3g2gBbIaqBwiZIs6ET5zRW4GBSoRv+eYpkvAXq
u5oVaC4VRS9fftHtKow0AQlfX/veLO9cAvsu0BHEP5Z3nVJbVT30l2dT+kKYC0u3z3XUG1fn+agX
Z0sImt5IE6XvGW1317d92ugmVwsIKwDuPiBUSXrk8r/lETau7WCrp6eirPj0axxE2X38cbdZ1E99
qXkHDw/U6h01hoqUiU5UXhBH2y6DtNeOh5FTkn2rXhqBHmbkdB4n798ZTtci/y9YV8JJ4Cbenc3h
O20+RnIGhwIQlbqyzIc49Q23TPScEV5+vv2uWvvjtJ7AfQzh1wbQOIJxtm0DDSwfOayWn33GCjtj
/LCCTussZB80QEbtxx+I44ONo6O23piHO53Q43PSZ85KT2/YXeQg+n1HozmjuMhPba8BTXNQBrF1
oM11Uqy+4QkZQZSVfvJNeHYN0O9MlN0Ib+wHD1hhYHRNk9fE7CFCIi7elNNaCoDN+vx0SmsBtIqD
ppVJ+6Cnp9xeC7bV7fMJLeE2/qDe4pzQWgBXvgf1+bf+gDcCZ0AKom/XXo8sRMsKA9Rt2HiJyqK8
yMKd1loAbyRSf2prgQYRuglCCW1xee1YYeAAXxpAJB7gg+R1alZgjydEN9WsYHYHNkRlds71Q+5a
weraQkeJWkH9+cm9EfgFkadSswJrgVKIQKrVfoGQ23ojzG4fLUgdMFt9ndw+QTdQt1K0gmF1LUOI
YfKDywuztqzAG4HU6wCYSm2l01sLpsxpqq4FxKssg5aeB2MEmybawOMWkBeor5PzC1Zfr8N3XRJ8
2oPv75yf3S+YPQCfbJo2u4G9XZNtdwcGGBQbW8irdsenFClJvdeB6+1WMLSuCcCGlP3hXRPnB4O9
BFaAgCau07OC0JlQ9Aum3TWp6pNd2ewXdvwC+1NE9NheCpqfuOob/tRa+IkvPZ03h34wf5TH0WCS
yrVcn7Ne/UJzWNsfYIvuKE6brS+KDFg99OQJhP1L64WRJ6WtD5uTk7zP5s83D7h/69a9mqdq/vMi
mCRuMvZpvs1ZttxMUzR9fv/u17n73Q3d1ilR7td/zOT9u9Y8t37/Vwbe0VMmOUSJSHncJKjidm9n
uJq8m+oDz9woddNmJKH6CNyc5ac68tCdAyBOoqBl5vo0qjx2PI8T9zFuZilmTQGPYKo+MjTecRYg
XtAMJgcHc9n8+2Ba9ylevrQ6fpvM3cJtS2wCyj+CsZu8x1n899mQYlH4vW12YCpHWIWfsHrw2Po9
N8kVVbOjqp547SlvjuyqI19g8SBofju5vFEOP8JKuXx0/dYCpLCmsWdQnfAlwH30OtpvZH1YUx46
egTn3v79QMGyU1ceOS52hnWEBKfqsF/2fRMgviO8L1+Y2Wo8K5spynUhwm/zH29/yX+PV0G6Z2aA
h0dYG1duEE2aKco5g2Y4wpyvXJqW7BKbeiQ2m3u93RxXbpq6Y3+VTrKstaYBR5jHMEkw9gPPbWe9
61O96uq7CoSkw65cGjnOI7wwV8GLrTufdktv24aI0eNV0nJ70PePMvE4ynZ8iK4BF1ZfKS91o1C0
x/Ukd9txi0OucYTt06vK2coTL84+T5J00vJUm3yN6voWk7+arINxK4wxuCiXHGPwv+Jk1owkvNUm
/6w8tFQyHLpJTKRshZ1NCuc4N9hHojG8gKirDn9Dx7JmFGmWOuWiPOxszo6kfarRqcAfwcneJBNv
t7BIhr95iLdHh6+o5qQlnft2jgl6nX9RNclrpF3Ft/NOIhYPLUSBWTxCXK5vsL8QG0ik4vxf1CxS
HnvdPlUadTJJ9Sd9DhSjON2HSRIS2ZoVLV5LmCn6ERzhQ8DJZmd5b0pQqrb45qY+8kdZ+9Ukryry
VcqDT9Ls7ODkqe8d4TD8LUjHMfLurZ2bQb+wI3jYb2UMGMBrjCB/Tfo1vLqdPZRpeirm7+efGozC
oT9rJ9fEN8bziZv88g8AAAD//w==</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TASK SUMMARY '!A1"/><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hyperlink" Target="#'RAW DATA'!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ROJECT SUMMARY'!A1"/><Relationship Id="rId11" Type="http://schemas.openxmlformats.org/officeDocument/2006/relationships/image" Target="../media/image3.png"/><Relationship Id="rId5" Type="http://schemas.microsoft.com/office/2014/relationships/chartEx" Target="../charts/chartEx1.xml"/><Relationship Id="rId10" Type="http://schemas.openxmlformats.org/officeDocument/2006/relationships/hyperlink" Target="#' ANALYSIS'!A1"/><Relationship Id="rId4" Type="http://schemas.openxmlformats.org/officeDocument/2006/relationships/chart" Target="../charts/chart4.xml"/><Relationship Id="rId9"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TASK SUMMARY '!A1"/><Relationship Id="rId13"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1.png"/><Relationship Id="rId12" Type="http://schemas.openxmlformats.org/officeDocument/2006/relationships/hyperlink" Target="#'RAW DATA'!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PROJECT SUMMARY'!A1"/><Relationship Id="rId11" Type="http://schemas.openxmlformats.org/officeDocument/2006/relationships/image" Target="../media/image3.png"/><Relationship Id="rId5" Type="http://schemas.openxmlformats.org/officeDocument/2006/relationships/chart" Target="../charts/chart9.xml"/><Relationship Id="rId10" Type="http://schemas.openxmlformats.org/officeDocument/2006/relationships/hyperlink" Target="#' ANALYSIS'!A1"/><Relationship Id="rId4" Type="http://schemas.openxmlformats.org/officeDocument/2006/relationships/chart" Target="../charts/chart8.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623887</xdr:colOff>
      <xdr:row>5</xdr:row>
      <xdr:rowOff>4763</xdr:rowOff>
    </xdr:from>
    <xdr:to>
      <xdr:col>16</xdr:col>
      <xdr:colOff>371475</xdr:colOff>
      <xdr:row>34</xdr:row>
      <xdr:rowOff>48986</xdr:rowOff>
    </xdr:to>
    <xdr:sp macro="" textlink="">
      <xdr:nvSpPr>
        <xdr:cNvPr id="9" name="Rectangle: Rounded Corners 8">
          <a:extLst>
            <a:ext uri="{FF2B5EF4-FFF2-40B4-BE49-F238E27FC236}">
              <a16:creationId xmlns:a16="http://schemas.microsoft.com/office/drawing/2014/main" id="{88498651-2908-4532-9B2C-CE0C34B8FB01}"/>
            </a:ext>
          </a:extLst>
        </xdr:cNvPr>
        <xdr:cNvSpPr/>
      </xdr:nvSpPr>
      <xdr:spPr>
        <a:xfrm>
          <a:off x="1906587" y="1084263"/>
          <a:ext cx="9647238" cy="5384573"/>
        </a:xfrm>
        <a:prstGeom prst="roundRect">
          <a:avLst>
            <a:gd name="adj" fmla="val 6863"/>
          </a:avLst>
        </a:prstGeom>
        <a:solidFill>
          <a:srgbClr val="2A3547"/>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19050</xdr:colOff>
      <xdr:row>5</xdr:row>
      <xdr:rowOff>121920</xdr:rowOff>
    </xdr:from>
    <xdr:to>
      <xdr:col>6</xdr:col>
      <xdr:colOff>918210</xdr:colOff>
      <xdr:row>17</xdr:row>
      <xdr:rowOff>133350</xdr:rowOff>
    </xdr:to>
    <xdr:graphicFrame macro="">
      <xdr:nvGraphicFramePr>
        <xdr:cNvPr id="2" name="Chart 1">
          <a:extLst>
            <a:ext uri="{FF2B5EF4-FFF2-40B4-BE49-F238E27FC236}">
              <a16:creationId xmlns:a16="http://schemas.microsoft.com/office/drawing/2014/main" id="{8965A671-9DA2-90CA-4EEE-C6A6C1953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179070</xdr:colOff>
      <xdr:row>5</xdr:row>
      <xdr:rowOff>116205</xdr:rowOff>
    </xdr:from>
    <xdr:to>
      <xdr:col>11</xdr:col>
      <xdr:colOff>83820</xdr:colOff>
      <xdr:row>17</xdr:row>
      <xdr:rowOff>156210</xdr:rowOff>
    </xdr:to>
    <xdr:graphicFrame macro="">
      <xdr:nvGraphicFramePr>
        <xdr:cNvPr id="3" name="Chart 2">
          <a:extLst>
            <a:ext uri="{FF2B5EF4-FFF2-40B4-BE49-F238E27FC236}">
              <a16:creationId xmlns:a16="http://schemas.microsoft.com/office/drawing/2014/main" id="{9F4A0EE7-FC2F-FBCF-A1AA-3DA20A022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222885</xdr:colOff>
      <xdr:row>5</xdr:row>
      <xdr:rowOff>121919</xdr:rowOff>
    </xdr:from>
    <xdr:to>
      <xdr:col>15</xdr:col>
      <xdr:colOff>316230</xdr:colOff>
      <xdr:row>17</xdr:row>
      <xdr:rowOff>175260</xdr:rowOff>
    </xdr:to>
    <xdr:graphicFrame macro="">
      <xdr:nvGraphicFramePr>
        <xdr:cNvPr id="4" name="Chart 3">
          <a:extLst>
            <a:ext uri="{FF2B5EF4-FFF2-40B4-BE49-F238E27FC236}">
              <a16:creationId xmlns:a16="http://schemas.microsoft.com/office/drawing/2014/main" id="{A88792C0-BAA8-A9D6-68E3-2A5F1C14A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20955</xdr:colOff>
      <xdr:row>18</xdr:row>
      <xdr:rowOff>81915</xdr:rowOff>
    </xdr:from>
    <xdr:to>
      <xdr:col>8</xdr:col>
      <xdr:colOff>601980</xdr:colOff>
      <xdr:row>30</xdr:row>
      <xdr:rowOff>64770</xdr:rowOff>
    </xdr:to>
    <xdr:graphicFrame macro="">
      <xdr:nvGraphicFramePr>
        <xdr:cNvPr id="5" name="Chart 5">
          <a:extLst>
            <a:ext uri="{FF2B5EF4-FFF2-40B4-BE49-F238E27FC236}">
              <a16:creationId xmlns:a16="http://schemas.microsoft.com/office/drawing/2014/main" id="{38821B1C-76A4-A13D-2522-99D5288DB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104775</xdr:colOff>
      <xdr:row>18</xdr:row>
      <xdr:rowOff>80010</xdr:rowOff>
    </xdr:from>
    <xdr:to>
      <xdr:col>15</xdr:col>
      <xdr:colOff>316230</xdr:colOff>
      <xdr:row>30</xdr:row>
      <xdr:rowOff>68580</xdr:rowOff>
    </xdr:to>
    <mc:AlternateContent xmlns:mc="http://schemas.openxmlformats.org/markup-compatibility/2006">
      <mc:Choice xmlns:cx4="http://schemas.microsoft.com/office/drawing/2016/5/10/chartex" Requires="cx4">
        <xdr:graphicFrame macro="">
          <xdr:nvGraphicFramePr>
            <xdr:cNvPr id="6" name="Chart 7">
              <a:extLst>
                <a:ext uri="{FF2B5EF4-FFF2-40B4-BE49-F238E27FC236}">
                  <a16:creationId xmlns:a16="http://schemas.microsoft.com/office/drawing/2014/main" id="{5B6108EE-288F-FCCD-75AA-8C5033B8A9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791325" y="3531870"/>
              <a:ext cx="4051935" cy="218313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xdr:col>
      <xdr:colOff>571500</xdr:colOff>
      <xdr:row>0</xdr:row>
      <xdr:rowOff>68580</xdr:rowOff>
    </xdr:from>
    <xdr:ext cx="4761945" cy="468013"/>
    <xdr:sp macro="" textlink="">
      <xdr:nvSpPr>
        <xdr:cNvPr id="7" name="TextBox 6">
          <a:extLst>
            <a:ext uri="{FF2B5EF4-FFF2-40B4-BE49-F238E27FC236}">
              <a16:creationId xmlns:a16="http://schemas.microsoft.com/office/drawing/2014/main" id="{17944F29-C30E-5F26-0D27-29E5454C06F9}"/>
            </a:ext>
          </a:extLst>
        </xdr:cNvPr>
        <xdr:cNvSpPr txBox="1"/>
      </xdr:nvSpPr>
      <xdr:spPr>
        <a:xfrm>
          <a:off x="1847850" y="68580"/>
          <a:ext cx="476194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b="1">
              <a:solidFill>
                <a:schemeClr val="bg1"/>
              </a:solidFill>
            </a:rPr>
            <a:t>PROJECT MANAGEMENT</a:t>
          </a:r>
          <a:r>
            <a:rPr lang="en-GB" sz="2400" b="1" baseline="0">
              <a:solidFill>
                <a:schemeClr val="bg1"/>
              </a:solidFill>
            </a:rPr>
            <a:t> </a:t>
          </a:r>
          <a:r>
            <a:rPr lang="en-GB" sz="2400" b="1" baseline="0">
              <a:solidFill>
                <a:schemeClr val="accent1"/>
              </a:solidFill>
            </a:rPr>
            <a:t>SUMMARY</a:t>
          </a:r>
          <a:endParaRPr lang="en-GB" sz="2400" b="1">
            <a:solidFill>
              <a:schemeClr val="accent1"/>
            </a:solidFill>
          </a:endParaRPr>
        </a:p>
      </xdr:txBody>
    </xdr:sp>
    <xdr:clientData/>
  </xdr:oneCellAnchor>
  <xdr:twoCellAnchor editAs="oneCell">
    <xdr:from>
      <xdr:col>11</xdr:col>
      <xdr:colOff>33335</xdr:colOff>
      <xdr:row>0</xdr:row>
      <xdr:rowOff>176211</xdr:rowOff>
    </xdr:from>
    <xdr:to>
      <xdr:col>15</xdr:col>
      <xdr:colOff>395285</xdr:colOff>
      <xdr:row>4</xdr:row>
      <xdr:rowOff>133349</xdr:rowOff>
    </xdr:to>
    <mc:AlternateContent xmlns:mc="http://schemas.openxmlformats.org/markup-compatibility/2006" xmlns:a14="http://schemas.microsoft.com/office/drawing/2010/main">
      <mc:Choice Requires="a14">
        <xdr:graphicFrame macro="">
          <xdr:nvGraphicFramePr>
            <xdr:cNvPr id="12" name="Assigned To">
              <a:extLst>
                <a:ext uri="{FF2B5EF4-FFF2-40B4-BE49-F238E27FC236}">
                  <a16:creationId xmlns:a16="http://schemas.microsoft.com/office/drawing/2014/main" id="{9B26BE87-9C6C-122B-5BBD-E264FE1EEC8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mlns="">
        <xdr:sp macro="" textlink="">
          <xdr:nvSpPr>
            <xdr:cNvPr id="0" name=""/>
            <xdr:cNvSpPr>
              <a:spLocks noTextEdit="1"/>
            </xdr:cNvSpPr>
          </xdr:nvSpPr>
          <xdr:spPr>
            <a:xfrm>
              <a:off x="7822064" y="176211"/>
              <a:ext cx="2930979" cy="7082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104334</xdr:colOff>
      <xdr:row>6</xdr:row>
      <xdr:rowOff>154184</xdr:rowOff>
    </xdr:from>
    <xdr:to>
      <xdr:col>2</xdr:col>
      <xdr:colOff>613865</xdr:colOff>
      <xdr:row>32</xdr:row>
      <xdr:rowOff>128254</xdr:rowOff>
    </xdr:to>
    <xdr:sp macro="" textlink="">
      <xdr:nvSpPr>
        <xdr:cNvPr id="16" name="Rectangle: Top Corners Rounded 15">
          <a:extLst>
            <a:ext uri="{FF2B5EF4-FFF2-40B4-BE49-F238E27FC236}">
              <a16:creationId xmlns:a16="http://schemas.microsoft.com/office/drawing/2014/main" id="{58970725-612E-0ACE-6B33-3C8552D31608}"/>
            </a:ext>
          </a:extLst>
        </xdr:cNvPr>
        <xdr:cNvSpPr/>
      </xdr:nvSpPr>
      <xdr:spPr>
        <a:xfrm rot="16200000" flipH="1">
          <a:off x="-718243" y="3514059"/>
          <a:ext cx="4716304" cy="509531"/>
        </a:xfrm>
        <a:prstGeom prst="round2SameRect">
          <a:avLst>
            <a:gd name="adj1" fmla="val 41436"/>
            <a:gd name="adj2" fmla="val 0"/>
          </a:avLst>
        </a:prstGeom>
        <a:solidFill>
          <a:srgbClr val="2A3547"/>
        </a:solidFill>
        <a:ln>
          <a:solidFill>
            <a:srgbClr val="20283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220255</xdr:colOff>
      <xdr:row>9</xdr:row>
      <xdr:rowOff>37316</xdr:rowOff>
    </xdr:from>
    <xdr:to>
      <xdr:col>2</xdr:col>
      <xdr:colOff>544255</xdr:colOff>
      <xdr:row>10</xdr:row>
      <xdr:rowOff>172552</xdr:rowOff>
    </xdr:to>
    <xdr:pic>
      <xdr:nvPicPr>
        <xdr:cNvPr id="18" name="Picture 17">
          <a:hlinkClick xmlns:r="http://schemas.openxmlformats.org/officeDocument/2006/relationships" r:id="rId6"/>
          <a:extLst>
            <a:ext uri="{FF2B5EF4-FFF2-40B4-BE49-F238E27FC236}">
              <a16:creationId xmlns:a16="http://schemas.microsoft.com/office/drawing/2014/main" id="{691DAB20-A9CF-4751-8187-543326BD3BE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501064" y="1840986"/>
          <a:ext cx="324000" cy="317630"/>
        </a:xfrm>
        <a:prstGeom prst="rect">
          <a:avLst/>
        </a:prstGeom>
      </xdr:spPr>
    </xdr:pic>
    <xdr:clientData/>
  </xdr:twoCellAnchor>
  <xdr:twoCellAnchor editAs="oneCell">
    <xdr:from>
      <xdr:col>2</xdr:col>
      <xdr:colOff>213364</xdr:colOff>
      <xdr:row>12</xdr:row>
      <xdr:rowOff>36776</xdr:rowOff>
    </xdr:from>
    <xdr:to>
      <xdr:col>2</xdr:col>
      <xdr:colOff>537364</xdr:colOff>
      <xdr:row>13</xdr:row>
      <xdr:rowOff>173768</xdr:rowOff>
    </xdr:to>
    <xdr:pic>
      <xdr:nvPicPr>
        <xdr:cNvPr id="19" name="Picture 18">
          <a:hlinkClick xmlns:r="http://schemas.openxmlformats.org/officeDocument/2006/relationships" r:id="rId8"/>
          <a:extLst>
            <a:ext uri="{FF2B5EF4-FFF2-40B4-BE49-F238E27FC236}">
              <a16:creationId xmlns:a16="http://schemas.microsoft.com/office/drawing/2014/main" id="{88DB2E3D-A138-4676-96E8-F4DE258BAE7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494173" y="2387627"/>
          <a:ext cx="324000" cy="319386"/>
        </a:xfrm>
        <a:prstGeom prst="rect">
          <a:avLst/>
        </a:prstGeom>
      </xdr:spPr>
    </xdr:pic>
    <xdr:clientData/>
  </xdr:twoCellAnchor>
  <xdr:twoCellAnchor editAs="oneCell">
    <xdr:from>
      <xdr:col>2</xdr:col>
      <xdr:colOff>220930</xdr:colOff>
      <xdr:row>15</xdr:row>
      <xdr:rowOff>112976</xdr:rowOff>
    </xdr:from>
    <xdr:to>
      <xdr:col>2</xdr:col>
      <xdr:colOff>544930</xdr:colOff>
      <xdr:row>17</xdr:row>
      <xdr:rowOff>71851</xdr:rowOff>
    </xdr:to>
    <xdr:pic>
      <xdr:nvPicPr>
        <xdr:cNvPr id="20" name="Picture 19">
          <a:hlinkClick xmlns:r="http://schemas.openxmlformats.org/officeDocument/2006/relationships" r:id="rId10"/>
          <a:extLst>
            <a:ext uri="{FF2B5EF4-FFF2-40B4-BE49-F238E27FC236}">
              <a16:creationId xmlns:a16="http://schemas.microsoft.com/office/drawing/2014/main" id="{E1EEEF4D-E835-4B4F-8F33-B208EF37518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503630" y="3033976"/>
          <a:ext cx="324000" cy="327175"/>
        </a:xfrm>
        <a:prstGeom prst="rect">
          <a:avLst/>
        </a:prstGeom>
      </xdr:spPr>
    </xdr:pic>
    <xdr:clientData/>
  </xdr:twoCellAnchor>
  <xdr:twoCellAnchor editAs="oneCell">
    <xdr:from>
      <xdr:col>2</xdr:col>
      <xdr:colOff>208230</xdr:colOff>
      <xdr:row>18</xdr:row>
      <xdr:rowOff>138376</xdr:rowOff>
    </xdr:from>
    <xdr:to>
      <xdr:col>2</xdr:col>
      <xdr:colOff>532230</xdr:colOff>
      <xdr:row>20</xdr:row>
      <xdr:rowOff>92171</xdr:rowOff>
    </xdr:to>
    <xdr:pic>
      <xdr:nvPicPr>
        <xdr:cNvPr id="21" name="Picture 20">
          <a:hlinkClick xmlns:r="http://schemas.openxmlformats.org/officeDocument/2006/relationships" r:id="rId12"/>
          <a:extLst>
            <a:ext uri="{FF2B5EF4-FFF2-40B4-BE49-F238E27FC236}">
              <a16:creationId xmlns:a16="http://schemas.microsoft.com/office/drawing/2014/main" id="{4BE7249D-3AF4-4233-B1C5-A309151D1FF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490930" y="3611826"/>
          <a:ext cx="324000" cy="322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527957</xdr:colOff>
      <xdr:row>5</xdr:row>
      <xdr:rowOff>174172</xdr:rowOff>
    </xdr:from>
    <xdr:to>
      <xdr:col>19</xdr:col>
      <xdr:colOff>5442</xdr:colOff>
      <xdr:row>43</xdr:row>
      <xdr:rowOff>163286</xdr:rowOff>
    </xdr:to>
    <xdr:sp macro="" textlink="">
      <xdr:nvSpPr>
        <xdr:cNvPr id="9" name="Rectangle: Rounded Corners 8">
          <a:extLst>
            <a:ext uri="{FF2B5EF4-FFF2-40B4-BE49-F238E27FC236}">
              <a16:creationId xmlns:a16="http://schemas.microsoft.com/office/drawing/2014/main" id="{D9F479DD-6A78-4D78-A592-872F14401FF7}"/>
            </a:ext>
          </a:extLst>
        </xdr:cNvPr>
        <xdr:cNvSpPr/>
      </xdr:nvSpPr>
      <xdr:spPr>
        <a:xfrm>
          <a:off x="1812471" y="1251858"/>
          <a:ext cx="11538857" cy="7021285"/>
        </a:xfrm>
        <a:prstGeom prst="roundRect">
          <a:avLst>
            <a:gd name="adj" fmla="val 6863"/>
          </a:avLst>
        </a:prstGeom>
        <a:solidFill>
          <a:srgbClr val="2A3547"/>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xdr:col>
      <xdr:colOff>624840</xdr:colOff>
      <xdr:row>0</xdr:row>
      <xdr:rowOff>99060</xdr:rowOff>
    </xdr:from>
    <xdr:ext cx="2243884" cy="468013"/>
    <xdr:sp macro="" textlink="">
      <xdr:nvSpPr>
        <xdr:cNvPr id="2" name="TextBox 1">
          <a:extLst>
            <a:ext uri="{FF2B5EF4-FFF2-40B4-BE49-F238E27FC236}">
              <a16:creationId xmlns:a16="http://schemas.microsoft.com/office/drawing/2014/main" id="{4A9D9482-F653-4C35-AF9D-B4E0A7320DFA}"/>
            </a:ext>
          </a:extLst>
        </xdr:cNvPr>
        <xdr:cNvSpPr txBox="1"/>
      </xdr:nvSpPr>
      <xdr:spPr>
        <a:xfrm>
          <a:off x="1905000" y="99060"/>
          <a:ext cx="224388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2400">
              <a:solidFill>
                <a:schemeClr val="bg1"/>
              </a:solidFill>
            </a:rPr>
            <a:t>TASK</a:t>
          </a:r>
          <a:r>
            <a:rPr lang="en-GB" sz="2400" baseline="0"/>
            <a:t> </a:t>
          </a:r>
          <a:r>
            <a:rPr lang="en-GB" sz="2400" baseline="0">
              <a:solidFill>
                <a:schemeClr val="accent1"/>
              </a:solidFill>
            </a:rPr>
            <a:t>SUMMARY</a:t>
          </a:r>
          <a:endParaRPr lang="en-GB" sz="2400">
            <a:solidFill>
              <a:schemeClr val="accent1"/>
            </a:solidFill>
          </a:endParaRPr>
        </a:p>
      </xdr:txBody>
    </xdr:sp>
    <xdr:clientData/>
  </xdr:oneCellAnchor>
  <xdr:twoCellAnchor>
    <xdr:from>
      <xdr:col>3</xdr:col>
      <xdr:colOff>149950</xdr:colOff>
      <xdr:row>8</xdr:row>
      <xdr:rowOff>67220</xdr:rowOff>
    </xdr:from>
    <xdr:to>
      <xdr:col>6</xdr:col>
      <xdr:colOff>856705</xdr:colOff>
      <xdr:row>20</xdr:row>
      <xdr:rowOff>166552</xdr:rowOff>
    </xdr:to>
    <xdr:graphicFrame macro="">
      <xdr:nvGraphicFramePr>
        <xdr:cNvPr id="3" name="Chart 8">
          <a:extLst>
            <a:ext uri="{FF2B5EF4-FFF2-40B4-BE49-F238E27FC236}">
              <a16:creationId xmlns:a16="http://schemas.microsoft.com/office/drawing/2014/main" id="{4DBF59D0-F901-ED32-DBC7-21AE0A350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27214</xdr:colOff>
      <xdr:row>9</xdr:row>
      <xdr:rowOff>136888</xdr:rowOff>
    </xdr:from>
    <xdr:to>
      <xdr:col>12</xdr:col>
      <xdr:colOff>500744</xdr:colOff>
      <xdr:row>22</xdr:row>
      <xdr:rowOff>43544</xdr:rowOff>
    </xdr:to>
    <xdr:graphicFrame macro="">
      <xdr:nvGraphicFramePr>
        <xdr:cNvPr id="5" name="Chart 10">
          <a:extLst>
            <a:ext uri="{FF2B5EF4-FFF2-40B4-BE49-F238E27FC236}">
              <a16:creationId xmlns:a16="http://schemas.microsoft.com/office/drawing/2014/main" id="{2E5DB1CC-D0DE-2C67-1B92-25C0E951A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131444</xdr:colOff>
      <xdr:row>9</xdr:row>
      <xdr:rowOff>125186</xdr:rowOff>
    </xdr:from>
    <xdr:to>
      <xdr:col>18</xdr:col>
      <xdr:colOff>21770</xdr:colOff>
      <xdr:row>22</xdr:row>
      <xdr:rowOff>48986</xdr:rowOff>
    </xdr:to>
    <xdr:graphicFrame macro="">
      <xdr:nvGraphicFramePr>
        <xdr:cNvPr id="6" name="Chart 11">
          <a:extLst>
            <a:ext uri="{FF2B5EF4-FFF2-40B4-BE49-F238E27FC236}">
              <a16:creationId xmlns:a16="http://schemas.microsoft.com/office/drawing/2014/main" id="{053564CD-18EA-08BC-03E3-54F0C4C20F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10</xdr:col>
      <xdr:colOff>174172</xdr:colOff>
      <xdr:row>7</xdr:row>
      <xdr:rowOff>141514</xdr:rowOff>
    </xdr:from>
    <xdr:ext cx="3088794" cy="342786"/>
    <xdr:sp macro="" textlink="">
      <xdr:nvSpPr>
        <xdr:cNvPr id="7" name="TextBox 6">
          <a:extLst>
            <a:ext uri="{FF2B5EF4-FFF2-40B4-BE49-F238E27FC236}">
              <a16:creationId xmlns:a16="http://schemas.microsoft.com/office/drawing/2014/main" id="{2CBAE17B-C8CC-F92A-2C6B-F9E2A80C040C}"/>
            </a:ext>
          </a:extLst>
        </xdr:cNvPr>
        <xdr:cNvSpPr txBox="1"/>
      </xdr:nvSpPr>
      <xdr:spPr>
        <a:xfrm>
          <a:off x="7739743" y="1589314"/>
          <a:ext cx="308879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600" b="1">
              <a:solidFill>
                <a:schemeClr val="bg1"/>
              </a:solidFill>
            </a:rPr>
            <a:t>Progress</a:t>
          </a:r>
          <a:r>
            <a:rPr lang="en-GB" sz="1600" b="1" baseline="0">
              <a:solidFill>
                <a:schemeClr val="bg1"/>
              </a:solidFill>
            </a:rPr>
            <a:t> by Task Id &amp; Hours Spent</a:t>
          </a:r>
          <a:endParaRPr lang="en-GB" sz="1600" b="1">
            <a:solidFill>
              <a:schemeClr val="bg1"/>
            </a:solidFill>
          </a:endParaRPr>
        </a:p>
      </xdr:txBody>
    </xdr:sp>
    <xdr:clientData/>
  </xdr:oneCellAnchor>
  <xdr:twoCellAnchor>
    <xdr:from>
      <xdr:col>3</xdr:col>
      <xdr:colOff>363855</xdr:colOff>
      <xdr:row>23</xdr:row>
      <xdr:rowOff>133622</xdr:rowOff>
    </xdr:from>
    <xdr:to>
      <xdr:col>8</xdr:col>
      <xdr:colOff>581569</xdr:colOff>
      <xdr:row>38</xdr:row>
      <xdr:rowOff>100965</xdr:rowOff>
    </xdr:to>
    <xdr:graphicFrame macro="">
      <xdr:nvGraphicFramePr>
        <xdr:cNvPr id="12" name="Chart 15">
          <a:extLst>
            <a:ext uri="{FF2B5EF4-FFF2-40B4-BE49-F238E27FC236}">
              <a16:creationId xmlns:a16="http://schemas.microsoft.com/office/drawing/2014/main" id="{0A35B51D-33A6-A56E-C122-B7D6EFB98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468903</xdr:colOff>
      <xdr:row>22</xdr:row>
      <xdr:rowOff>161924</xdr:rowOff>
    </xdr:from>
    <xdr:to>
      <xdr:col>16</xdr:col>
      <xdr:colOff>545103</xdr:colOff>
      <xdr:row>37</xdr:row>
      <xdr:rowOff>129267</xdr:rowOff>
    </xdr:to>
    <xdr:graphicFrame macro="">
      <xdr:nvGraphicFramePr>
        <xdr:cNvPr id="13" name="Chart 16">
          <a:extLst>
            <a:ext uri="{FF2B5EF4-FFF2-40B4-BE49-F238E27FC236}">
              <a16:creationId xmlns:a16="http://schemas.microsoft.com/office/drawing/2014/main" id="{C8C2F760-D325-6A20-321B-F8BEAF729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16330</xdr:colOff>
      <xdr:row>1</xdr:row>
      <xdr:rowOff>94161</xdr:rowOff>
    </xdr:from>
    <xdr:to>
      <xdr:col>18</xdr:col>
      <xdr:colOff>88720</xdr:colOff>
      <xdr:row>4</xdr:row>
      <xdr:rowOff>272143</xdr:rowOff>
    </xdr:to>
    <mc:AlternateContent xmlns:mc="http://schemas.openxmlformats.org/markup-compatibility/2006" xmlns:a14="http://schemas.microsoft.com/office/drawing/2010/main">
      <mc:Choice Requires="a14">
        <xdr:graphicFrame macro="">
          <xdr:nvGraphicFramePr>
            <xdr:cNvPr id="15" name="Assigned To 1">
              <a:extLst>
                <a:ext uri="{FF2B5EF4-FFF2-40B4-BE49-F238E27FC236}">
                  <a16:creationId xmlns:a16="http://schemas.microsoft.com/office/drawing/2014/main" id="{44BD4A74-62CC-7383-8A87-C873F1635097}"/>
                </a:ext>
              </a:extLst>
            </xdr:cNvPr>
            <xdr:cNvGraphicFramePr/>
          </xdr:nvGraphicFramePr>
          <xdr:xfrm>
            <a:off x="0" y="0"/>
            <a:ext cx="0" cy="0"/>
          </xdr:xfrm>
          <a:graphic>
            <a:graphicData uri="http://schemas.microsoft.com/office/drawing/2010/slicer">
              <sle:slicer xmlns:sle="http://schemas.microsoft.com/office/drawing/2010/slicer" name="Assigned To 1"/>
            </a:graphicData>
          </a:graphic>
        </xdr:graphicFrame>
      </mc:Choice>
      <mc:Fallback xmlns="">
        <xdr:sp macro="" textlink="">
          <xdr:nvSpPr>
            <xdr:cNvPr id="0" name=""/>
            <xdr:cNvSpPr>
              <a:spLocks noTextEdit="1"/>
            </xdr:cNvSpPr>
          </xdr:nvSpPr>
          <xdr:spPr>
            <a:xfrm>
              <a:off x="9865180" y="278311"/>
              <a:ext cx="3279140" cy="7431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622905</xdr:colOff>
      <xdr:row>9</xdr:row>
      <xdr:rowOff>163284</xdr:rowOff>
    </xdr:from>
    <xdr:to>
      <xdr:col>2</xdr:col>
      <xdr:colOff>491389</xdr:colOff>
      <xdr:row>40</xdr:row>
      <xdr:rowOff>96763</xdr:rowOff>
    </xdr:to>
    <xdr:sp macro="" textlink="">
      <xdr:nvSpPr>
        <xdr:cNvPr id="16" name="Rectangle: Top Corners Rounded 15">
          <a:extLst>
            <a:ext uri="{FF2B5EF4-FFF2-40B4-BE49-F238E27FC236}">
              <a16:creationId xmlns:a16="http://schemas.microsoft.com/office/drawing/2014/main" id="{BD58320E-3D35-4C15-9561-90176BC2D768}"/>
            </a:ext>
          </a:extLst>
        </xdr:cNvPr>
        <xdr:cNvSpPr/>
      </xdr:nvSpPr>
      <xdr:spPr>
        <a:xfrm rot="16200000" flipH="1">
          <a:off x="-1260164" y="4483544"/>
          <a:ext cx="5557765" cy="509531"/>
        </a:xfrm>
        <a:prstGeom prst="round2SameRect">
          <a:avLst>
            <a:gd name="adj1" fmla="val 41436"/>
            <a:gd name="adj2" fmla="val 0"/>
          </a:avLst>
        </a:prstGeom>
        <a:solidFill>
          <a:srgbClr val="2A3547"/>
        </a:solidFill>
        <a:ln>
          <a:solidFill>
            <a:srgbClr val="20283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67886</xdr:colOff>
      <xdr:row>12</xdr:row>
      <xdr:rowOff>114904</xdr:rowOff>
    </xdr:from>
    <xdr:to>
      <xdr:col>2</xdr:col>
      <xdr:colOff>499381</xdr:colOff>
      <xdr:row>15</xdr:row>
      <xdr:rowOff>0</xdr:rowOff>
    </xdr:to>
    <xdr:pic>
      <xdr:nvPicPr>
        <xdr:cNvPr id="17" name="Picture 16">
          <a:hlinkClick xmlns:r="http://schemas.openxmlformats.org/officeDocument/2006/relationships" r:id="rId6"/>
          <a:extLst>
            <a:ext uri="{FF2B5EF4-FFF2-40B4-BE49-F238E27FC236}">
              <a16:creationId xmlns:a16="http://schemas.microsoft.com/office/drawing/2014/main" id="{60943E77-9F16-4B1C-972D-3AA59802B5F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49981" y="2455333"/>
          <a:ext cx="431495" cy="429381"/>
        </a:xfrm>
        <a:prstGeom prst="rect">
          <a:avLst/>
        </a:prstGeom>
      </xdr:spPr>
    </xdr:pic>
    <xdr:clientData/>
  </xdr:twoCellAnchor>
  <xdr:twoCellAnchor editAs="oneCell">
    <xdr:from>
      <xdr:col>2</xdr:col>
      <xdr:colOff>55790</xdr:colOff>
      <xdr:row>16</xdr:row>
      <xdr:rowOff>53521</xdr:rowOff>
    </xdr:from>
    <xdr:to>
      <xdr:col>2</xdr:col>
      <xdr:colOff>441475</xdr:colOff>
      <xdr:row>18</xdr:row>
      <xdr:rowOff>74459</xdr:rowOff>
    </xdr:to>
    <xdr:pic>
      <xdr:nvPicPr>
        <xdr:cNvPr id="18" name="Picture 17">
          <a:hlinkClick xmlns:r="http://schemas.openxmlformats.org/officeDocument/2006/relationships" r:id="rId8"/>
          <a:extLst>
            <a:ext uri="{FF2B5EF4-FFF2-40B4-BE49-F238E27FC236}">
              <a16:creationId xmlns:a16="http://schemas.microsoft.com/office/drawing/2014/main" id="{EE07DD6F-0C0A-42DC-9762-A18630E00A0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37885" y="3119664"/>
          <a:ext cx="385685" cy="383795"/>
        </a:xfrm>
        <a:prstGeom prst="rect">
          <a:avLst/>
        </a:prstGeom>
      </xdr:spPr>
    </xdr:pic>
    <xdr:clientData/>
  </xdr:twoCellAnchor>
  <xdr:twoCellAnchor editAs="oneCell">
    <xdr:from>
      <xdr:col>2</xdr:col>
      <xdr:colOff>96762</xdr:colOff>
      <xdr:row>20</xdr:row>
      <xdr:rowOff>84667</xdr:rowOff>
    </xdr:from>
    <xdr:to>
      <xdr:col>2</xdr:col>
      <xdr:colOff>444975</xdr:colOff>
      <xdr:row>22</xdr:row>
      <xdr:rowOff>69660</xdr:rowOff>
    </xdr:to>
    <xdr:pic>
      <xdr:nvPicPr>
        <xdr:cNvPr id="19" name="Picture 18">
          <a:hlinkClick xmlns:r="http://schemas.openxmlformats.org/officeDocument/2006/relationships" r:id="rId10"/>
          <a:extLst>
            <a:ext uri="{FF2B5EF4-FFF2-40B4-BE49-F238E27FC236}">
              <a16:creationId xmlns:a16="http://schemas.microsoft.com/office/drawing/2014/main" id="{2E19A92E-0C53-40C4-9AC3-F4019BA130F1}"/>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8857" y="3876524"/>
          <a:ext cx="348213" cy="347850"/>
        </a:xfrm>
        <a:prstGeom prst="rect">
          <a:avLst/>
        </a:prstGeom>
      </xdr:spPr>
    </xdr:pic>
    <xdr:clientData/>
  </xdr:twoCellAnchor>
  <xdr:twoCellAnchor editAs="oneCell">
    <xdr:from>
      <xdr:col>2</xdr:col>
      <xdr:colOff>72572</xdr:colOff>
      <xdr:row>23</xdr:row>
      <xdr:rowOff>126998</xdr:rowOff>
    </xdr:from>
    <xdr:to>
      <xdr:col>2</xdr:col>
      <xdr:colOff>396572</xdr:colOff>
      <xdr:row>25</xdr:row>
      <xdr:rowOff>82723</xdr:rowOff>
    </xdr:to>
    <xdr:pic>
      <xdr:nvPicPr>
        <xdr:cNvPr id="20" name="Picture 19">
          <a:hlinkClick xmlns:r="http://schemas.openxmlformats.org/officeDocument/2006/relationships" r:id="rId12"/>
          <a:extLst>
            <a:ext uri="{FF2B5EF4-FFF2-40B4-BE49-F238E27FC236}">
              <a16:creationId xmlns:a16="http://schemas.microsoft.com/office/drawing/2014/main" id="{439F8186-9751-44F5-A751-5CB4A76DBA9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354667" y="4463141"/>
          <a:ext cx="324000" cy="31858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our Oboh" refreshedDate="45729.783589930557" createdVersion="7" refreshedVersion="7" minRefreshableVersion="3" recordCount="300" xr:uid="{AF4E347F-7192-4539-81F3-9AC7CCD995CE}">
  <cacheSource type="worksheet">
    <worksheetSource name="Project_Management__1"/>
  </cacheSource>
  <cacheFields count="20">
    <cacheField name="Project ID" numFmtId="0">
      <sharedItems/>
    </cacheField>
    <cacheField name="Project Name" numFmtId="0">
      <sharedItems count="100">
        <s v="Renovation of a School Project 001"/>
        <s v="Innovation of a Classroom Project 002"/>
        <s v="Construction of a Hospital Wing Project 003"/>
        <s v="Road Expansion Project 004"/>
        <s v="Bridge Maintenance Project 005"/>
        <s v="Office Building Renovation Project 006"/>
        <s v="Apartment Complex Development Project 007"/>
        <s v="Commercial Center Construction Project 008"/>
        <s v="Highway Reconstruction Project 009"/>
        <s v="Airport Expansion Project 010"/>
        <s v="Shopping Mall Renovation Project 011"/>
        <s v="University Dormitory Construction Project 012"/>
        <s v="Sports Stadium Upgrade Project 013"/>
        <s v="Public Library Renovation Project 014"/>
        <s v="Building a Park Project 015"/>
        <s v="Renovation of a School Project 016"/>
        <s v="Innovation of a Classroom Project 017"/>
        <s v="Construction of a Hospital Wing Project 018"/>
        <s v="Road Expansion Project 019"/>
        <s v="Bridge Maintenance Project 020"/>
        <s v="Office Building Renovation Project 021"/>
        <s v="Apartment Complex Development Project 022"/>
        <s v="Commercial Center Construction Project 023"/>
        <s v="Highway Reconstruction Project 024"/>
        <s v="Airport Expansion Project 025"/>
        <s v="Shopping Mall Renovation Project 026"/>
        <s v="University Dormitory Construction Project 027"/>
        <s v="Sports Stadium Upgrade Project 028"/>
        <s v="Public Library Renovation Project 029"/>
        <s v="Building a Park Project 030"/>
        <s v="Renovation of a School Project 031"/>
        <s v="Innovation of a Classroom Project 032"/>
        <s v="Construction of a Hospital Wing Project 033"/>
        <s v="Road Expansion Project 034"/>
        <s v="Bridge Maintenance Project 035"/>
        <s v="Office Building Renovation Project 036"/>
        <s v="Apartment Complex Development Project 037"/>
        <s v="Commercial Center Construction Project 038"/>
        <s v="Highway Reconstruction Project 039"/>
        <s v="Airport Expansion Project 040"/>
        <s v="Shopping Mall Renovation Project 041"/>
        <s v="University Dormitory Construction Project 042"/>
        <s v="Sports Stadium Upgrade Project 043"/>
        <s v="Public Library Renovation Project 044"/>
        <s v="Building a Park Project 045"/>
        <s v="Renovation of a School Project 046"/>
        <s v="Innovation of a Classroom Project 047"/>
        <s v="Construction of a Hospital Wing Project 048"/>
        <s v="Road Expansion Project 049"/>
        <s v="Bridge Maintenance Project 050"/>
        <s v="Office Building Renovation Project 051"/>
        <s v="Apartment Complex Development Project 052"/>
        <s v="Commercial Center Construction Project 053"/>
        <s v="Highway Reconstruction Project 054"/>
        <s v="Airport Expansion Project 055"/>
        <s v="Shopping Mall Renovation Project 056"/>
        <s v="University Dormitory Construction Project 057"/>
        <s v="Sports Stadium Upgrade Project 058"/>
        <s v="Public Library Renovation Project 059"/>
        <s v="Building a Park Project 060"/>
        <s v="Renovation of a School Project 061"/>
        <s v="Innovation of a Classroom Project 062"/>
        <s v="Construction of a Hospital Wing Project 063"/>
        <s v="Road Expansion Project 064"/>
        <s v="Bridge Maintenance Project 065"/>
        <s v="Office Building Renovation Project 066"/>
        <s v="Apartment Complex Development Project 067"/>
        <s v="Commercial Center Construction Project 068"/>
        <s v="Highway Reconstruction Project 069"/>
        <s v="Airport Expansion Project 070"/>
        <s v="Shopping Mall Renovation Project 071"/>
        <s v="University Dormitory Construction Project 072"/>
        <s v="Sports Stadium Upgrade Project 073"/>
        <s v="Public Library Renovation Project 074"/>
        <s v="Building a Park Project 075"/>
        <s v="Renovation of a School Project 076"/>
        <s v="Innovation of a Classroom Project 077"/>
        <s v="Construction of a Hospital Wing Project 078"/>
        <s v="Road Expansion Project 079"/>
        <s v="Bridge Maintenance Project 080"/>
        <s v="Office Building Renovation Project 081"/>
        <s v="Apartment Complex Development Project 082"/>
        <s v="Commercial Center Construction Project 083"/>
        <s v="Highway Reconstruction Project 084"/>
        <s v="Airport Expansion Project 085"/>
        <s v="Shopping Mall Renovation Project 086"/>
        <s v="University Dormitory Construction Project 087"/>
        <s v="Sports Stadium Upgrade Project 088"/>
        <s v="Public Library Renovation Project 089"/>
        <s v="Building a Park Project 090"/>
        <s v="Renovation of a School Project 091"/>
        <s v="Innovation of a Classroom Project 092"/>
        <s v="Construction of a Hospital Wing Project 093"/>
        <s v="Road Expansion Project 094"/>
        <s v="Bridge Maintenance Project 095"/>
        <s v="Office Building Renovation Project 096"/>
        <s v="Apartment Complex Development Project 097"/>
        <s v="Commercial Center Construction Project 098"/>
        <s v="Highway Reconstruction Project 099"/>
        <s v="Airport Expansion Project 100"/>
      </sharedItems>
    </cacheField>
    <cacheField name="Project Type" numFmtId="0">
      <sharedItems count="6">
        <s v="Renovation"/>
        <s v="Innovation"/>
        <s v="Construction"/>
        <s v="Infrastructure"/>
        <s v="Maintenance"/>
        <s v="Other"/>
      </sharedItems>
    </cacheField>
    <cacheField name="Location" numFmtId="0">
      <sharedItems count="13">
        <s v="Texas"/>
        <s v="New Jersey"/>
        <s v="Ohio"/>
        <s v="Pennsylvania"/>
        <s v="New York"/>
        <s v="California"/>
        <s v="Virginia"/>
        <s v="Michigan"/>
        <s v="North Carolina"/>
        <s v="Florida"/>
        <s v="Illinois"/>
        <s v="Washington"/>
        <s v="Georgia"/>
      </sharedItems>
    </cacheField>
    <cacheField name="Start Date" numFmtId="14">
      <sharedItems containsSemiMixedTypes="0" containsNonDate="0" containsDate="1" containsString="0" minDate="2024-01-03T00:00:00" maxDate="2024-08-29T00:00:00" count="84">
        <d v="2024-07-21T00:00:00"/>
        <d v="2024-06-04T00:00:00"/>
        <d v="2024-07-20T00:00:00"/>
        <d v="2024-04-25T00:00:00"/>
        <d v="2024-06-30T00:00:00"/>
        <d v="2024-08-09T00:00:00"/>
        <d v="2024-08-06T00:00:00"/>
        <d v="2024-04-17T00:00:00"/>
        <d v="2024-04-27T00:00:00"/>
        <d v="2024-02-14T00:00:00"/>
        <d v="2024-05-08T00:00:00"/>
        <d v="2024-01-27T00:00:00"/>
        <d v="2024-02-09T00:00:00"/>
        <d v="2024-07-30T00:00:00"/>
        <d v="2024-03-17T00:00:00"/>
        <d v="2024-02-18T00:00:00"/>
        <d v="2024-04-02T00:00:00"/>
        <d v="2024-06-10T00:00:00"/>
        <d v="2024-04-10T00:00:00"/>
        <d v="2024-03-21T00:00:00"/>
        <d v="2024-01-09T00:00:00"/>
        <d v="2024-01-04T00:00:00"/>
        <d v="2024-08-16T00:00:00"/>
        <d v="2024-05-05T00:00:00"/>
        <d v="2024-07-08T00:00:00"/>
        <d v="2024-01-03T00:00:00"/>
        <d v="2024-07-25T00:00:00"/>
        <d v="2024-07-16T00:00:00"/>
        <d v="2024-03-19T00:00:00"/>
        <d v="2024-05-02T00:00:00"/>
        <d v="2024-05-15T00:00:00"/>
        <d v="2024-06-13T00:00:00"/>
        <d v="2024-06-28T00:00:00"/>
        <d v="2024-03-26T00:00:00"/>
        <d v="2024-01-16T00:00:00"/>
        <d v="2024-01-15T00:00:00"/>
        <d v="2024-01-25T00:00:00"/>
        <d v="2024-01-26T00:00:00"/>
        <d v="2024-01-31T00:00:00"/>
        <d v="2024-01-05T00:00:00"/>
        <d v="2024-04-05T00:00:00"/>
        <d v="2024-06-11T00:00:00"/>
        <d v="2024-06-27T00:00:00"/>
        <d v="2024-06-09T00:00:00"/>
        <d v="2024-07-02T00:00:00"/>
        <d v="2024-06-12T00:00:00"/>
        <d v="2024-03-23T00:00:00"/>
        <d v="2024-05-27T00:00:00"/>
        <d v="2024-06-18T00:00:00"/>
        <d v="2024-04-15T00:00:00"/>
        <d v="2024-08-28T00:00:00"/>
        <d v="2024-08-15T00:00:00"/>
        <d v="2024-07-24T00:00:00"/>
        <d v="2024-02-08T00:00:00"/>
        <d v="2024-07-04T00:00:00"/>
        <d v="2024-06-14T00:00:00"/>
        <d v="2024-07-27T00:00:00"/>
        <d v="2024-06-22T00:00:00"/>
        <d v="2024-01-06T00:00:00"/>
        <d v="2024-05-04T00:00:00"/>
        <d v="2024-01-30T00:00:00"/>
        <d v="2024-02-25T00:00:00"/>
        <d v="2024-02-28T00:00:00"/>
        <d v="2024-02-10T00:00:00"/>
        <d v="2024-04-23T00:00:00"/>
        <d v="2024-05-06T00:00:00"/>
        <d v="2024-05-21T00:00:00"/>
        <d v="2024-05-11T00:00:00"/>
        <d v="2024-07-11T00:00:00"/>
        <d v="2024-04-09T00:00:00"/>
        <d v="2024-04-22T00:00:00"/>
        <d v="2024-04-16T00:00:00"/>
        <d v="2024-05-31T00:00:00"/>
        <d v="2024-07-01T00:00:00"/>
        <d v="2024-03-20T00:00:00"/>
        <d v="2024-08-03T00:00:00"/>
        <d v="2024-01-29T00:00:00"/>
        <d v="2024-02-17T00:00:00"/>
        <d v="2024-05-26T00:00:00"/>
        <d v="2024-05-22T00:00:00"/>
        <d v="2024-03-03T00:00:00"/>
        <d v="2024-08-19T00:00:00"/>
        <d v="2024-06-08T00:00:00"/>
        <d v="2024-08-08T00:00:00"/>
      </sharedItems>
      <fieldGroup par="17" base="4">
        <rangePr groupBy="days" startDate="2024-01-03T00:00:00" endDate="2024-08-29T00:00:00"/>
        <groupItems count="368">
          <s v="&lt;03/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8/2024"/>
        </groupItems>
      </fieldGroup>
    </cacheField>
    <cacheField name="End Date" numFmtId="14">
      <sharedItems containsSemiMixedTypes="0" containsNonDate="0" containsDate="1" containsString="0" minDate="2024-02-08T00:00:00" maxDate="2025-10-22T00:00:00" count="211">
        <d v="2024-08-08T00:00:00"/>
        <d v="2024-08-12T00:00:00"/>
        <d v="2024-08-10T00:00:00"/>
        <d v="2025-07-12T00:00:00"/>
        <d v="2025-06-26T00:00:00"/>
        <d v="2025-03-25T00:00:00"/>
        <d v="2024-08-22T00:00:00"/>
        <d v="2024-09-25T00:00:00"/>
        <d v="2024-05-06T00:00:00"/>
        <d v="2024-05-05T00:00:00"/>
        <d v="2024-05-10T00:00:00"/>
        <d v="2025-07-31T00:00:00"/>
        <d v="2024-08-02T00:00:00"/>
        <d v="2025-06-30T00:00:00"/>
        <d v="2024-09-11T00:00:00"/>
        <d v="2025-02-20T00:00:00"/>
        <d v="2024-11-17T00:00:00"/>
        <d v="2024-11-29T00:00:00"/>
        <d v="2024-09-13T00:00:00"/>
        <d v="2024-11-05T00:00:00"/>
        <d v="2024-10-19T00:00:00"/>
        <d v="2025-04-28T00:00:00"/>
        <d v="2025-06-01T00:00:00"/>
        <d v="2025-05-26T00:00:00"/>
        <d v="2024-06-15T00:00:00"/>
        <d v="2024-06-08T00:00:00"/>
        <d v="2024-05-26T00:00:00"/>
        <d v="2024-07-28T00:00:00"/>
        <d v="2024-08-19T00:00:00"/>
        <d v="2024-08-01T00:00:00"/>
        <d v="2024-02-29T00:00:00"/>
        <d v="2025-06-27T00:00:00"/>
        <d v="2024-08-24T00:00:00"/>
        <d v="2024-07-06T00:00:00"/>
        <d v="2024-12-20T00:00:00"/>
        <d v="2025-01-30T00:00:00"/>
        <d v="2024-12-29T00:00:00"/>
        <d v="2024-04-19T00:00:00"/>
        <d v="2024-10-22T00:00:00"/>
        <d v="2024-09-15T00:00:00"/>
        <d v="2024-10-25T00:00:00"/>
        <d v="2024-09-23T00:00:00"/>
        <d v="2024-10-14T00:00:00"/>
        <d v="2024-03-05T00:00:00"/>
        <d v="2024-03-01T00:00:00"/>
        <d v="2024-02-25T00:00:00"/>
        <d v="2024-12-30T00:00:00"/>
        <d v="2024-12-24T00:00:00"/>
        <d v="2024-07-03T00:00:00"/>
        <d v="2024-07-02T00:00:00"/>
        <d v="2024-12-15T00:00:00"/>
        <d v="2024-09-20T00:00:00"/>
        <d v="2024-04-11T00:00:00"/>
        <d v="2024-04-28T00:00:00"/>
        <d v="2024-04-24T00:00:00"/>
        <d v="2024-05-18T00:00:00"/>
        <d v="2024-06-01T00:00:00"/>
        <d v="2024-04-10T00:00:00"/>
        <d v="2024-08-29T00:00:00"/>
        <d v="2024-09-04T00:00:00"/>
        <d v="2024-09-01T00:00:00"/>
        <d v="2024-07-20T00:00:00"/>
        <d v="2024-07-17T00:00:00"/>
        <d v="2025-04-30T00:00:00"/>
        <d v="2025-04-06T00:00:00"/>
        <d v="2024-12-28T00:00:00"/>
        <d v="2025-03-22T00:00:00"/>
        <d v="2025-01-19T00:00:00"/>
        <d v="2025-05-28T00:00:00"/>
        <d v="2025-01-16T00:00:00"/>
        <d v="2024-05-13T00:00:00"/>
        <d v="2024-12-21T00:00:00"/>
        <d v="2025-01-23T00:00:00"/>
        <d v="2024-07-29T00:00:00"/>
        <d v="2024-06-09T00:00:00"/>
        <d v="2024-06-06T00:00:00"/>
        <d v="2024-06-03T00:00:00"/>
        <d v="2025-02-26T00:00:00"/>
        <d v="2025-04-16T00:00:00"/>
        <d v="2025-03-24T00:00:00"/>
        <d v="2024-10-18T00:00:00"/>
        <d v="2024-08-17T00:00:00"/>
        <d v="2024-08-21T00:00:00"/>
        <d v="2024-07-31T00:00:00"/>
        <d v="2025-04-26T00:00:00"/>
        <d v="2024-07-10T00:00:00"/>
        <d v="2024-06-28T00:00:00"/>
        <d v="2024-05-25T00:00:00"/>
        <d v="2024-06-13T00:00:00"/>
        <d v="2024-03-19T00:00:00"/>
        <d v="2024-03-04T00:00:00"/>
        <d v="2024-03-23T00:00:00"/>
        <d v="2024-03-31T00:00:00"/>
        <d v="2024-04-03T00:00:00"/>
        <d v="2024-08-14T00:00:00"/>
        <d v="2024-03-21T00:00:00"/>
        <d v="2024-05-29T00:00:00"/>
        <d v="2024-07-30T00:00:00"/>
        <d v="2024-06-02T00:00:00"/>
        <d v="2024-05-12T00:00:00"/>
        <d v="2024-06-23T00:00:00"/>
        <d v="2024-09-18T00:00:00"/>
        <d v="2024-09-14T00:00:00"/>
        <d v="2024-07-14T00:00:00"/>
        <d v="2025-02-25T00:00:00"/>
        <d v="2024-06-16T00:00:00"/>
        <d v="2024-06-18T00:00:00"/>
        <d v="2025-01-09T00:00:00"/>
        <d v="2024-10-31T00:00:00"/>
        <d v="2024-11-02T00:00:00"/>
        <d v="2024-08-11T00:00:00"/>
        <d v="2024-08-13T00:00:00"/>
        <d v="2024-08-23T00:00:00"/>
        <d v="2024-07-22T00:00:00"/>
        <d v="2024-07-25T00:00:00"/>
        <d v="2024-12-12T00:00:00"/>
        <d v="2024-10-21T00:00:00"/>
        <d v="2025-07-27T00:00:00"/>
        <d v="2025-06-11T00:00:00"/>
        <d v="2025-08-22T00:00:00"/>
        <d v="2024-11-27T00:00:00"/>
        <d v="2024-11-07T00:00:00"/>
        <d v="2024-12-26T00:00:00"/>
        <d v="2025-03-06T00:00:00"/>
        <d v="2025-04-29T00:00:00"/>
        <d v="2025-04-21T00:00:00"/>
        <d v="2025-08-28T00:00:00"/>
        <d v="2025-09-05T00:00:00"/>
        <d v="2024-11-04T00:00:00"/>
        <d v="2025-06-15T00:00:00"/>
        <d v="2024-04-25T00:00:00"/>
        <d v="2024-08-26T00:00:00"/>
        <d v="2025-09-04T00:00:00"/>
        <d v="2025-07-06T00:00:00"/>
        <d v="2024-08-31T00:00:00"/>
        <d v="2024-07-24T00:00:00"/>
        <d v="2024-07-13T00:00:00"/>
        <d v="2024-11-16T00:00:00"/>
        <d v="2024-10-26T00:00:00"/>
        <d v="2025-05-05T00:00:00"/>
        <d v="2025-05-21T00:00:00"/>
        <d v="2025-09-07T00:00:00"/>
        <d v="2025-02-22T00:00:00"/>
        <d v="2025-01-07T00:00:00"/>
        <d v="2024-08-18T00:00:00"/>
        <d v="2025-04-11T00:00:00"/>
        <d v="2024-02-08T00:00:00"/>
        <d v="2024-09-30T00:00:00"/>
        <d v="2024-11-23T00:00:00"/>
        <d v="2024-11-06T00:00:00"/>
        <d v="2025-01-12T00:00:00"/>
        <d v="2024-03-03T00:00:00"/>
        <d v="2025-02-13T00:00:00"/>
        <d v="2025-03-01T00:00:00"/>
        <d v="2025-08-14T00:00:00"/>
        <d v="2025-08-08T00:00:00"/>
        <d v="2025-06-23T00:00:00"/>
        <d v="2025-09-27T00:00:00"/>
        <d v="2024-04-01T00:00:00"/>
        <d v="2024-02-18T00:00:00"/>
        <d v="2024-02-19T00:00:00"/>
        <d v="2024-02-17T00:00:00"/>
        <d v="2025-05-27T00:00:00"/>
        <d v="2025-06-09T00:00:00"/>
        <d v="2024-07-26T00:00:00"/>
        <d v="2025-09-12T00:00:00"/>
        <d v="2025-07-26T00:00:00"/>
        <d v="2025-02-07T00:00:00"/>
        <d v="2025-03-13T00:00:00"/>
        <d v="2024-03-18T00:00:00"/>
        <d v="2024-04-09T00:00:00"/>
        <d v="2025-01-13T00:00:00"/>
        <d v="2025-03-15T00:00:00"/>
        <d v="2024-07-09T00:00:00"/>
        <d v="2025-01-04T00:00:00"/>
        <d v="2025-03-03T00:00:00"/>
        <d v="2025-03-12T00:00:00"/>
        <d v="2025-03-17T00:00:00"/>
        <d v="2024-06-05T00:00:00"/>
        <d v="2025-05-08T00:00:00"/>
        <d v="2025-04-19T00:00:00"/>
        <d v="2024-11-18T00:00:00"/>
        <d v="2024-11-19T00:00:00"/>
        <d v="2024-12-10T00:00:00"/>
        <d v="2024-10-17T00:00:00"/>
        <d v="2025-09-11T00:00:00"/>
        <d v="2025-10-07T00:00:00"/>
        <d v="2025-10-06T00:00:00"/>
        <d v="2025-02-02T00:00:00"/>
        <d v="2025-05-06T00:00:00"/>
        <d v="2025-07-18T00:00:00"/>
        <d v="2025-09-01T00:00:00"/>
        <d v="2025-10-21T00:00:00"/>
        <d v="2024-06-24T00:00:00"/>
        <d v="2025-03-21T00:00:00"/>
        <d v="2024-11-26T00:00:00"/>
        <d v="2024-09-21T00:00:00"/>
        <d v="2024-10-06T00:00:00"/>
        <d v="2024-09-29T00:00:00"/>
        <d v="2024-06-29T00:00:00"/>
        <d v="2024-07-27T00:00:00"/>
        <d v="2025-01-05T00:00:00"/>
        <d v="2025-03-09T00:00:00"/>
        <d v="2024-12-08T00:00:00"/>
        <d v="2025-03-08T00:00:00"/>
        <d v="2025-01-28T00:00:00"/>
        <d v="2025-04-27T00:00:00"/>
        <d v="2024-12-22T00:00:00"/>
        <d v="2025-03-11T00:00:00"/>
        <d v="2024-09-02T00:00:00"/>
        <d v="2024-08-30T00:00:00"/>
      </sharedItems>
      <fieldGroup par="19" base="5">
        <rangePr groupBy="months" startDate="2024-02-08T00:00:00" endDate="2025-10-22T00:00:00"/>
        <groupItems count="14">
          <s v="&lt;08/02/2024"/>
          <s v="Jan"/>
          <s v="Feb"/>
          <s v="Mar"/>
          <s v="Apr"/>
          <s v="May"/>
          <s v="Jun"/>
          <s v="Jul"/>
          <s v="Aug"/>
          <s v="Sep"/>
          <s v="Oct"/>
          <s v="Nov"/>
          <s v="Dec"/>
          <s v="&gt;22/10/2025"/>
        </groupItems>
      </fieldGroup>
    </cacheField>
    <cacheField name="Project Status" numFmtId="0">
      <sharedItems count="4">
        <s v="Behind"/>
        <s v="On Track"/>
        <s v="Completed"/>
        <s v="On Hold"/>
      </sharedItems>
    </cacheField>
    <cacheField name="Priority" numFmtId="0">
      <sharedItems count="3">
        <s v="Medium"/>
        <s v="High"/>
        <s v="Low"/>
      </sharedItems>
    </cacheField>
    <cacheField name="Task ID" numFmtId="0">
      <sharedItems count="3">
        <s v="T001"/>
        <s v="T002"/>
        <s v="T003"/>
      </sharedItems>
    </cacheField>
    <cacheField name="Task Name" numFmtId="0">
      <sharedItems count="300">
        <s v="Task 001 of Renovation of a School Project 001"/>
        <s v="Task 002 of Renovation of a School Project 001"/>
        <s v="Task 003 of Renovation of a School Project 001"/>
        <s v="Task 001 of Innovation of a Classroom Project 002"/>
        <s v="Task 002 of Innovation of a Classroom Project 002"/>
        <s v="Task 003 of Innovation of a Classroom Project 002"/>
        <s v="Task 001 of Construction of a Hospital Wing Project 003"/>
        <s v="Task 002 of Construction of a Hospital Wing Project 003"/>
        <s v="Task 003 of Construction of a Hospital Wing Project 003"/>
        <s v="Task 001 of Road Expansion Project 004"/>
        <s v="Task 002 of Road Expansion Project 004"/>
        <s v="Task 003 of Road Expansion Project 004"/>
        <s v="Task 001 of Bridge Maintenance Project 005"/>
        <s v="Task 002 of Bridge Maintenance Project 005"/>
        <s v="Task 003 of Bridge Maintenance Project 005"/>
        <s v="Task 001 of Office Building Renovation Project 006"/>
        <s v="Task 002 of Office Building Renovation Project 006"/>
        <s v="Task 003 of Office Building Renovation Project 006"/>
        <s v="Task 001 of Apartment Complex Development Project 007"/>
        <s v="Task 002 of Apartment Complex Development Project 007"/>
        <s v="Task 003 of Apartment Complex Development Project 007"/>
        <s v="Task 001 of Commercial Center Construction Project 008"/>
        <s v="Task 002 of Commercial Center Construction Project 008"/>
        <s v="Task 003 of Commercial Center Construction Project 008"/>
        <s v="Task 001 of Highway Reconstruction Project 009"/>
        <s v="Task 002 of Highway Reconstruction Project 009"/>
        <s v="Task 003 of Highway Reconstruction Project 009"/>
        <s v="Task 001 of Airport Expansion Project 010"/>
        <s v="Task 002 of Airport Expansion Project 010"/>
        <s v="Task 003 of Airport Expansion Project 010"/>
        <s v="Task 001 of Shopping Mall Renovation Project 011"/>
        <s v="Task 002 of Shopping Mall Renovation Project 011"/>
        <s v="Task 003 of Shopping Mall Renovation Project 011"/>
        <s v="Task 001 of University Dormitory Construction Project 012"/>
        <s v="Task 002 of University Dormitory Construction Project 012"/>
        <s v="Task 003 of University Dormitory Construction Project 012"/>
        <s v="Task 001 of Sports Stadium Upgrade Project 013"/>
        <s v="Task 002 of Sports Stadium Upgrade Project 013"/>
        <s v="Task 003 of Sports Stadium Upgrade Project 013"/>
        <s v="Task 001 of Public Library Renovation Project 014"/>
        <s v="Task 002 of Public Library Renovation Project 014"/>
        <s v="Task 003 of Public Library Renovation Project 014"/>
        <s v="Task 001 of Building a Park Project 015"/>
        <s v="Task 002 of Building a Park Project 015"/>
        <s v="Task 003 of Building a Park Project 015"/>
        <s v="Task 001 of Renovation of a School Project 016"/>
        <s v="Task 002 of Renovation of a School Project 016"/>
        <s v="Task 003 of Renovation of a School Project 016"/>
        <s v="Task 001 of Innovation of a Classroom Project 017"/>
        <s v="Task 002 of Innovation of a Classroom Project 017"/>
        <s v="Task 003 of Innovation of a Classroom Project 017"/>
        <s v="Task 001 of Construction of a Hospital Wing Project 018"/>
        <s v="Task 002 of Construction of a Hospital Wing Project 018"/>
        <s v="Task 003 of Construction of a Hospital Wing Project 018"/>
        <s v="Task 001 of Road Expansion Project 019"/>
        <s v="Task 002 of Road Expansion Project 019"/>
        <s v="Task 003 of Road Expansion Project 019"/>
        <s v="Task 001 of Bridge Maintenance Project 020"/>
        <s v="Task 002 of Bridge Maintenance Project 020"/>
        <s v="Task 003 of Bridge Maintenance Project 020"/>
        <s v="Task 001 of Office Building Renovation Project 021"/>
        <s v="Task 002 of Office Building Renovation Project 021"/>
        <s v="Task 003 of Office Building Renovation Project 021"/>
        <s v="Task 001 of Apartment Complex Development Project 022"/>
        <s v="Task 002 of Apartment Complex Development Project 022"/>
        <s v="Task 003 of Apartment Complex Development Project 022"/>
        <s v="Task 001 of Commercial Center Construction Project 023"/>
        <s v="Task 002 of Commercial Center Construction Project 023"/>
        <s v="Task 003 of Commercial Center Construction Project 023"/>
        <s v="Task 001 of Highway Reconstruction Project 024"/>
        <s v="Task 002 of Highway Reconstruction Project 024"/>
        <s v="Task 003 of Highway Reconstruction Project 024"/>
        <s v="Task 001 of Airport Expansion Project 025"/>
        <s v="Task 002 of Airport Expansion Project 025"/>
        <s v="Task 003 of Airport Expansion Project 025"/>
        <s v="Task 001 of Shopping Mall Renovation Project 026"/>
        <s v="Task 002 of Shopping Mall Renovation Project 026"/>
        <s v="Task 003 of Shopping Mall Renovation Project 026"/>
        <s v="Task 001 of University Dormitory Construction Project 027"/>
        <s v="Task 002 of University Dormitory Construction Project 027"/>
        <s v="Task 003 of University Dormitory Construction Project 027"/>
        <s v="Task 001 of Sports Stadium Upgrade Project 028"/>
        <s v="Task 002 of Sports Stadium Upgrade Project 028"/>
        <s v="Task 003 of Sports Stadium Upgrade Project 028"/>
        <s v="Task 001 of Public Library Renovation Project 029"/>
        <s v="Task 002 of Public Library Renovation Project 029"/>
        <s v="Task 003 of Public Library Renovation Project 029"/>
        <s v="Task 001 of Building a Park Project 030"/>
        <s v="Task 002 of Building a Park Project 030"/>
        <s v="Task 003 of Building a Park Project 030"/>
        <s v="Task 001 of Renovation of a School Project 031"/>
        <s v="Task 002 of Renovation of a School Project 031"/>
        <s v="Task 003 of Renovation of a School Project 031"/>
        <s v="Task 001 of Innovation of a Classroom Project 032"/>
        <s v="Task 002 of Innovation of a Classroom Project 032"/>
        <s v="Task 003 of Innovation of a Classroom Project 032"/>
        <s v="Task 001 of Construction of a Hospital Wing Project 033"/>
        <s v="Task 002 of Construction of a Hospital Wing Project 033"/>
        <s v="Task 003 of Construction of a Hospital Wing Project 033"/>
        <s v="Task 001 of Road Expansion Project 034"/>
        <s v="Task 002 of Road Expansion Project 034"/>
        <s v="Task 003 of Road Expansion Project 034"/>
        <s v="Task 001 of Bridge Maintenance Project 035"/>
        <s v="Task 002 of Bridge Maintenance Project 035"/>
        <s v="Task 003 of Bridge Maintenance Project 035"/>
        <s v="Task 001 of Office Building Renovation Project 036"/>
        <s v="Task 002 of Office Building Renovation Project 036"/>
        <s v="Task 003 of Office Building Renovation Project 036"/>
        <s v="Task 001 of Apartment Complex Development Project 037"/>
        <s v="Task 002 of Apartment Complex Development Project 037"/>
        <s v="Task 003 of Apartment Complex Development Project 037"/>
        <s v="Task 001 of Commercial Center Construction Project 038"/>
        <s v="Task 002 of Commercial Center Construction Project 038"/>
        <s v="Task 003 of Commercial Center Construction Project 038"/>
        <s v="Task 001 of Highway Reconstruction Project 039"/>
        <s v="Task 002 of Highway Reconstruction Project 039"/>
        <s v="Task 003 of Highway Reconstruction Project 039"/>
        <s v="Task 001 of Airport Expansion Project 040"/>
        <s v="Task 002 of Airport Expansion Project 040"/>
        <s v="Task 003 of Airport Expansion Project 040"/>
        <s v="Task 001 of Shopping Mall Renovation Project 041"/>
        <s v="Task 002 of Shopping Mall Renovation Project 041"/>
        <s v="Task 003 of Shopping Mall Renovation Project 041"/>
        <s v="Task 001 of University Dormitory Construction Project 042"/>
        <s v="Task 002 of University Dormitory Construction Project 042"/>
        <s v="Task 003 of University Dormitory Construction Project 042"/>
        <s v="Task 001 of Sports Stadium Upgrade Project 043"/>
        <s v="Task 002 of Sports Stadium Upgrade Project 043"/>
        <s v="Task 003 of Sports Stadium Upgrade Project 043"/>
        <s v="Task 001 of Public Library Renovation Project 044"/>
        <s v="Task 002 of Public Library Renovation Project 044"/>
        <s v="Task 003 of Public Library Renovation Project 044"/>
        <s v="Task 001 of Building a Park Project 045"/>
        <s v="Task 002 of Building a Park Project 045"/>
        <s v="Task 003 of Building a Park Project 045"/>
        <s v="Task 001 of Renovation of a School Project 046"/>
        <s v="Task 002 of Renovation of a School Project 046"/>
        <s v="Task 003 of Renovation of a School Project 046"/>
        <s v="Task 001 of Innovation of a Classroom Project 047"/>
        <s v="Task 002 of Innovation of a Classroom Project 047"/>
        <s v="Task 003 of Innovation of a Classroom Project 047"/>
        <s v="Task 001 of Construction of a Hospital Wing Project 048"/>
        <s v="Task 002 of Construction of a Hospital Wing Project 048"/>
        <s v="Task 003 of Construction of a Hospital Wing Project 048"/>
        <s v="Task 001 of Road Expansion Project 049"/>
        <s v="Task 002 of Road Expansion Project 049"/>
        <s v="Task 003 of Road Expansion Project 049"/>
        <s v="Task 001 of Bridge Maintenance Project 050"/>
        <s v="Task 002 of Bridge Maintenance Project 050"/>
        <s v="Task 003 of Bridge Maintenance Project 050"/>
        <s v="Task 001 of Office Building Renovation Project 051"/>
        <s v="Task 002 of Office Building Renovation Project 051"/>
        <s v="Task 003 of Office Building Renovation Project 051"/>
        <s v="Task 001 of Apartment Complex Development Project 052"/>
        <s v="Task 002 of Apartment Complex Development Project 052"/>
        <s v="Task 003 of Apartment Complex Development Project 052"/>
        <s v="Task 001 of Commercial Center Construction Project 053"/>
        <s v="Task 002 of Commercial Center Construction Project 053"/>
        <s v="Task 003 of Commercial Center Construction Project 053"/>
        <s v="Task 001 of Highway Reconstruction Project 054"/>
        <s v="Task 002 of Highway Reconstruction Project 054"/>
        <s v="Task 003 of Highway Reconstruction Project 054"/>
        <s v="Task 001 of Airport Expansion Project 055"/>
        <s v="Task 002 of Airport Expansion Project 055"/>
        <s v="Task 003 of Airport Expansion Project 055"/>
        <s v="Task 001 of Shopping Mall Renovation Project 056"/>
        <s v="Task 002 of Shopping Mall Renovation Project 056"/>
        <s v="Task 003 of Shopping Mall Renovation Project 056"/>
        <s v="Task 001 of University Dormitory Construction Project 057"/>
        <s v="Task 002 of University Dormitory Construction Project 057"/>
        <s v="Task 003 of University Dormitory Construction Project 057"/>
        <s v="Task 001 of Sports Stadium Upgrade Project 058"/>
        <s v="Task 002 of Sports Stadium Upgrade Project 058"/>
        <s v="Task 003 of Sports Stadium Upgrade Project 058"/>
        <s v="Task 001 of Public Library Renovation Project 059"/>
        <s v="Task 002 of Public Library Renovation Project 059"/>
        <s v="Task 003 of Public Library Renovation Project 059"/>
        <s v="Task 001 of Building a Park Project 060"/>
        <s v="Task 002 of Building a Park Project 060"/>
        <s v="Task 003 of Building a Park Project 060"/>
        <s v="Task 001 of Renovation of a School Project 061"/>
        <s v="Task 002 of Renovation of a School Project 061"/>
        <s v="Task 003 of Renovation of a School Project 061"/>
        <s v="Task 001 of Innovation of a Classroom Project 062"/>
        <s v="Task 002 of Innovation of a Classroom Project 062"/>
        <s v="Task 003 of Innovation of a Classroom Project 062"/>
        <s v="Task 001 of Construction of a Hospital Wing Project 063"/>
        <s v="Task 002 of Construction of a Hospital Wing Project 063"/>
        <s v="Task 003 of Construction of a Hospital Wing Project 063"/>
        <s v="Task 001 of Road Expansion Project 064"/>
        <s v="Task 002 of Road Expansion Project 064"/>
        <s v="Task 003 of Road Expansion Project 064"/>
        <s v="Task 001 of Bridge Maintenance Project 065"/>
        <s v="Task 002 of Bridge Maintenance Project 065"/>
        <s v="Task 003 of Bridge Maintenance Project 065"/>
        <s v="Task 001 of Office Building Renovation Project 066"/>
        <s v="Task 002 of Office Building Renovation Project 066"/>
        <s v="Task 003 of Office Building Renovation Project 066"/>
        <s v="Task 001 of Apartment Complex Development Project 067"/>
        <s v="Task 002 of Apartment Complex Development Project 067"/>
        <s v="Task 003 of Apartment Complex Development Project 067"/>
        <s v="Task 001 of Commercial Center Construction Project 068"/>
        <s v="Task 002 of Commercial Center Construction Project 068"/>
        <s v="Task 003 of Commercial Center Construction Project 068"/>
        <s v="Task 001 of Highway Reconstruction Project 069"/>
        <s v="Task 002 of Highway Reconstruction Project 069"/>
        <s v="Task 003 of Highway Reconstruction Project 069"/>
        <s v="Task 001 of Airport Expansion Project 070"/>
        <s v="Task 002 of Airport Expansion Project 070"/>
        <s v="Task 003 of Airport Expansion Project 070"/>
        <s v="Task 001 of Shopping Mall Renovation Project 071"/>
        <s v="Task 002 of Shopping Mall Renovation Project 071"/>
        <s v="Task 003 of Shopping Mall Renovation Project 071"/>
        <s v="Task 001 of University Dormitory Construction Project 072"/>
        <s v="Task 002 of University Dormitory Construction Project 072"/>
        <s v="Task 003 of University Dormitory Construction Project 072"/>
        <s v="Task 001 of Sports Stadium Upgrade Project 073"/>
        <s v="Task 002 of Sports Stadium Upgrade Project 073"/>
        <s v="Task 003 of Sports Stadium Upgrade Project 073"/>
        <s v="Task 001 of Public Library Renovation Project 074"/>
        <s v="Task 002 of Public Library Renovation Project 074"/>
        <s v="Task 003 of Public Library Renovation Project 074"/>
        <s v="Task 001 of Building a Park Project 075"/>
        <s v="Task 002 of Building a Park Project 075"/>
        <s v="Task 003 of Building a Park Project 075"/>
        <s v="Task 001 of Renovation of a School Project 076"/>
        <s v="Task 002 of Renovation of a School Project 076"/>
        <s v="Task 003 of Renovation of a School Project 076"/>
        <s v="Task 001 of Innovation of a Classroom Project 077"/>
        <s v="Task 002 of Innovation of a Classroom Project 077"/>
        <s v="Task 003 of Innovation of a Classroom Project 077"/>
        <s v="Task 001 of Construction of a Hospital Wing Project 078"/>
        <s v="Task 002 of Construction of a Hospital Wing Project 078"/>
        <s v="Task 003 of Construction of a Hospital Wing Project 078"/>
        <s v="Task 001 of Road Expansion Project 079"/>
        <s v="Task 002 of Road Expansion Project 079"/>
        <s v="Task 003 of Road Expansion Project 079"/>
        <s v="Task 001 of Bridge Maintenance Project 080"/>
        <s v="Task 002 of Bridge Maintenance Project 080"/>
        <s v="Task 003 of Bridge Maintenance Project 080"/>
        <s v="Task 001 of Office Building Renovation Project 081"/>
        <s v="Task 002 of Office Building Renovation Project 081"/>
        <s v="Task 003 of Office Building Renovation Project 081"/>
        <s v="Task 001 of Apartment Complex Development Project 082"/>
        <s v="Task 002 of Apartment Complex Development Project 082"/>
        <s v="Task 003 of Apartment Complex Development Project 082"/>
        <s v="Task 001 of Commercial Center Construction Project 083"/>
        <s v="Task 002 of Commercial Center Construction Project 083"/>
        <s v="Task 003 of Commercial Center Construction Project 083"/>
        <s v="Task 001 of Highway Reconstruction Project 084"/>
        <s v="Task 002 of Highway Reconstruction Project 084"/>
        <s v="Task 003 of Highway Reconstruction Project 084"/>
        <s v="Task 001 of Airport Expansion Project 085"/>
        <s v="Task 002 of Airport Expansion Project 085"/>
        <s v="Task 003 of Airport Expansion Project 085"/>
        <s v="Task 001 of Shopping Mall Renovation Project 086"/>
        <s v="Task 002 of Shopping Mall Renovation Project 086"/>
        <s v="Task 003 of Shopping Mall Renovation Project 086"/>
        <s v="Task 001 of University Dormitory Construction Project 087"/>
        <s v="Task 002 of University Dormitory Construction Project 087"/>
        <s v="Task 003 of University Dormitory Construction Project 087"/>
        <s v="Task 001 of Sports Stadium Upgrade Project 088"/>
        <s v="Task 002 of Sports Stadium Upgrade Project 088"/>
        <s v="Task 003 of Sports Stadium Upgrade Project 088"/>
        <s v="Task 001 of Public Library Renovation Project 089"/>
        <s v="Task 002 of Public Library Renovation Project 089"/>
        <s v="Task 003 of Public Library Renovation Project 089"/>
        <s v="Task 001 of Building a Park Project 090"/>
        <s v="Task 002 of Building a Park Project 090"/>
        <s v="Task 003 of Building a Park Project 090"/>
        <s v="Task 001 of Renovation of a School Project 091"/>
        <s v="Task 002 of Renovation of a School Project 091"/>
        <s v="Task 003 of Renovation of a School Project 091"/>
        <s v="Task 001 of Innovation of a Classroom Project 092"/>
        <s v="Task 002 of Innovation of a Classroom Project 092"/>
        <s v="Task 003 of Innovation of a Classroom Project 092"/>
        <s v="Task 001 of Construction of a Hospital Wing Project 093"/>
        <s v="Task 002 of Construction of a Hospital Wing Project 093"/>
        <s v="Task 003 of Construction of a Hospital Wing Project 093"/>
        <s v="Task 001 of Road Expansion Project 094"/>
        <s v="Task 002 of Road Expansion Project 094"/>
        <s v="Task 003 of Road Expansion Project 094"/>
        <s v="Task 001 of Bridge Maintenance Project 095"/>
        <s v="Task 002 of Bridge Maintenance Project 095"/>
        <s v="Task 003 of Bridge Maintenance Project 095"/>
        <s v="Task 001 of Office Building Renovation Project 096"/>
        <s v="Task 002 of Office Building Renovation Project 096"/>
        <s v="Task 003 of Office Building Renovation Project 096"/>
        <s v="Task 001 of Apartment Complex Development Project 097"/>
        <s v="Task 002 of Apartment Complex Development Project 097"/>
        <s v="Task 003 of Apartment Complex Development Project 097"/>
        <s v="Task 001 of Commercial Center Construction Project 098"/>
        <s v="Task 002 of Commercial Center Construction Project 098"/>
        <s v="Task 003 of Commercial Center Construction Project 098"/>
        <s v="Task 001 of Highway Reconstruction Project 099"/>
        <s v="Task 002 of Highway Reconstruction Project 099"/>
        <s v="Task 003 of Highway Reconstruction Project 099"/>
        <s v="Task 001 of Airport Expansion Project 100"/>
        <s v="Task 002 of Airport Expansion Project 100"/>
        <s v="Task 003 of Airport Expansion Project 100"/>
      </sharedItems>
    </cacheField>
    <cacheField name="Task Status" numFmtId="0">
      <sharedItems count="3">
        <s v="In Progress"/>
        <s v="Completed"/>
        <s v="Pending"/>
      </sharedItems>
    </cacheField>
    <cacheField name="Assigned To" numFmtId="0">
      <sharedItems count="8">
        <s v="Bob"/>
        <s v="Charlie"/>
        <s v="Alice"/>
        <s v="Grace"/>
        <s v="Frank"/>
        <s v="Ivy"/>
        <s v="Eve"/>
        <s v="David"/>
      </sharedItems>
    </cacheField>
    <cacheField name="Hours Spent" numFmtId="0">
      <sharedItems containsSemiMixedTypes="0" containsString="0" containsNumber="1" containsInteger="1" minValue="0" maxValue="40" count="41">
        <n v="12"/>
        <n v="4"/>
        <n v="5"/>
        <n v="24"/>
        <n v="26"/>
        <n v="28"/>
        <n v="7"/>
        <n v="23"/>
        <n v="13"/>
        <n v="18"/>
        <n v="0"/>
        <n v="9"/>
        <n v="40"/>
        <n v="32"/>
        <n v="25"/>
        <n v="10"/>
        <n v="17"/>
        <n v="21"/>
        <n v="35"/>
        <n v="2"/>
        <n v="16"/>
        <n v="11"/>
        <n v="15"/>
        <n v="1"/>
        <n v="38"/>
        <n v="6"/>
        <n v="31"/>
        <n v="8"/>
        <n v="22"/>
        <n v="27"/>
        <n v="34"/>
        <n v="37"/>
        <n v="36"/>
        <n v="19"/>
        <n v="3"/>
        <n v="30"/>
        <n v="33"/>
        <n v="14"/>
        <n v="39"/>
        <n v="29"/>
        <n v="20"/>
      </sharedItems>
    </cacheField>
    <cacheField name="Progress" numFmtId="0">
      <sharedItems containsSemiMixedTypes="0" containsString="0" containsNumber="1" minValue="0" maxValue="1" count="89">
        <n v="0.24"/>
        <n v="0.56000000000000005"/>
        <n v="1"/>
        <n v="0.33"/>
        <n v="0.32"/>
        <n v="0.28999999999999998"/>
        <n v="0.99"/>
        <n v="0.74"/>
        <n v="0.78"/>
        <n v="0.04"/>
        <n v="7.0000000000000007E-2"/>
        <n v="0.62"/>
        <n v="0.85"/>
        <n v="0.92"/>
        <n v="0.59"/>
        <n v="0.26"/>
        <n v="0.45"/>
        <n v="0.36"/>
        <n v="0.88"/>
        <n v="0.97"/>
        <n v="0.1"/>
        <n v="0.7"/>
        <n v="0.6"/>
        <n v="0.64"/>
        <n v="0.44"/>
        <n v="0.02"/>
        <n v="0.98"/>
        <n v="0.28000000000000003"/>
        <n v="0.55000000000000004"/>
        <n v="0.82"/>
        <n v="0.22"/>
        <n v="0.38"/>
        <n v="0.87"/>
        <n v="0.66"/>
        <n v="0.54"/>
        <n v="0.2"/>
        <n v="0.61"/>
        <n v="0.46"/>
        <n v="0.84"/>
        <n v="0.11"/>
        <n v="0.43"/>
        <n v="0.68"/>
        <n v="0.77"/>
        <n v="0.05"/>
        <n v="0.75"/>
        <n v="0.72"/>
        <n v="0.5"/>
        <n v="0.19"/>
        <n v="0.31"/>
        <n v="0.15"/>
        <n v="0.4"/>
        <n v="0.79"/>
        <n v="0.39"/>
        <n v="0.71"/>
        <n v="0.47"/>
        <n v="0.09"/>
        <n v="0.93"/>
        <n v="0.21"/>
        <n v="0.8"/>
        <n v="0.06"/>
        <n v="0.51"/>
        <n v="0.18"/>
        <n v="0.49"/>
        <n v="0.96"/>
        <n v="0.76"/>
        <n v="0.03"/>
        <n v="0.41"/>
        <n v="0.63"/>
        <n v="0.48"/>
        <n v="0.95"/>
        <n v="0.17"/>
        <n v="0.08"/>
        <n v="0.37"/>
        <n v="0.25"/>
        <n v="0"/>
        <n v="0.53"/>
        <n v="0.13"/>
        <n v="0.65"/>
        <n v="0.57999999999999996"/>
        <n v="0.91"/>
        <n v="0.3"/>
        <n v="0.23"/>
        <n v="0.42"/>
        <n v="0.81"/>
        <n v="0.69"/>
        <n v="0.67"/>
        <n v="0.83"/>
        <n v="0.14000000000000001"/>
        <n v="0.86"/>
      </sharedItems>
    </cacheField>
    <cacheField name="Budget" numFmtId="0">
      <sharedItems containsSemiMixedTypes="0" containsString="0" containsNumber="1" containsInteger="1" minValue="1026" maxValue="9998"/>
    </cacheField>
    <cacheField name="Actual Cost" numFmtId="0">
      <sharedItems containsSemiMixedTypes="0" containsString="0" containsNumber="1" containsInteger="1" minValue="0" maxValue="12398"/>
    </cacheField>
    <cacheField name="Buget Utilization" numFmtId="0">
      <sharedItems containsSemiMixedTypes="0" containsString="0" containsNumber="1" minValue="0" maxValue="3.0754597336715284"/>
    </cacheField>
    <cacheField name="Months" numFmtId="0" databaseField="0">
      <fieldGroup base="4">
        <rangePr groupBy="months" startDate="2024-01-03T00:00:00" endDate="2024-08-29T00:00:00"/>
        <groupItems count="14">
          <s v="&lt;03/01/2024"/>
          <s v="Jan"/>
          <s v="Feb"/>
          <s v="Mar"/>
          <s v="Apr"/>
          <s v="May"/>
          <s v="Jun"/>
          <s v="Jul"/>
          <s v="Aug"/>
          <s v="Sep"/>
          <s v="Oct"/>
          <s v="Nov"/>
          <s v="Dec"/>
          <s v="&gt;29/08/2024"/>
        </groupItems>
      </fieldGroup>
    </cacheField>
    <cacheField name="Quarters" numFmtId="0" databaseField="0">
      <fieldGroup base="5">
        <rangePr groupBy="quarters" startDate="2024-02-08T00:00:00" endDate="2025-10-22T00:00:00"/>
        <groupItems count="6">
          <s v="&lt;08/02/2024"/>
          <s v="Qtr1"/>
          <s v="Qtr2"/>
          <s v="Qtr3"/>
          <s v="Qtr4"/>
          <s v="&gt;22/10/2025"/>
        </groupItems>
      </fieldGroup>
    </cacheField>
    <cacheField name="Years" numFmtId="0" databaseField="0">
      <fieldGroup base="5">
        <rangePr groupBy="years" startDate="2024-02-08T00:00:00" endDate="2025-10-22T00:00:00"/>
        <groupItems count="4">
          <s v="&lt;08/02/2024"/>
          <s v="2024"/>
          <s v="2025"/>
          <s v="&gt;22/10/2025"/>
        </groupItems>
      </fieldGroup>
    </cacheField>
  </cacheFields>
  <extLst>
    <ext xmlns:x14="http://schemas.microsoft.com/office/spreadsheetml/2009/9/main" uri="{725AE2AE-9491-48be-B2B4-4EB974FC3084}">
      <x14:pivotCacheDefinition pivotCacheId="908323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1"/>
    <x v="0"/>
    <x v="0"/>
    <x v="0"/>
    <x v="0"/>
    <x v="0"/>
    <x v="0"/>
    <x v="0"/>
    <x v="0"/>
    <x v="0"/>
    <x v="0"/>
    <x v="0"/>
    <x v="0"/>
    <x v="0"/>
    <n v="9621"/>
    <n v="0"/>
    <n v="0"/>
  </r>
  <r>
    <s v="P001"/>
    <x v="0"/>
    <x v="0"/>
    <x v="1"/>
    <x v="0"/>
    <x v="1"/>
    <x v="0"/>
    <x v="1"/>
    <x v="1"/>
    <x v="1"/>
    <x v="0"/>
    <x v="1"/>
    <x v="1"/>
    <x v="1"/>
    <n v="7814"/>
    <n v="0"/>
    <n v="0"/>
  </r>
  <r>
    <s v="P001"/>
    <x v="0"/>
    <x v="0"/>
    <x v="2"/>
    <x v="0"/>
    <x v="2"/>
    <x v="0"/>
    <x v="1"/>
    <x v="2"/>
    <x v="2"/>
    <x v="1"/>
    <x v="1"/>
    <x v="2"/>
    <x v="2"/>
    <n v="1028"/>
    <n v="1011"/>
    <n v="0.9834630350194552"/>
  </r>
  <r>
    <s v="P002"/>
    <x v="1"/>
    <x v="1"/>
    <x v="3"/>
    <x v="1"/>
    <x v="3"/>
    <x v="1"/>
    <x v="1"/>
    <x v="0"/>
    <x v="3"/>
    <x v="2"/>
    <x v="1"/>
    <x v="3"/>
    <x v="3"/>
    <n v="1530"/>
    <n v="0"/>
    <n v="0"/>
  </r>
  <r>
    <s v="P002"/>
    <x v="1"/>
    <x v="1"/>
    <x v="4"/>
    <x v="1"/>
    <x v="4"/>
    <x v="1"/>
    <x v="0"/>
    <x v="1"/>
    <x v="4"/>
    <x v="2"/>
    <x v="1"/>
    <x v="4"/>
    <x v="4"/>
    <n v="7201"/>
    <n v="0"/>
    <n v="0"/>
  </r>
  <r>
    <s v="P002"/>
    <x v="1"/>
    <x v="1"/>
    <x v="5"/>
    <x v="1"/>
    <x v="5"/>
    <x v="1"/>
    <x v="2"/>
    <x v="2"/>
    <x v="5"/>
    <x v="0"/>
    <x v="2"/>
    <x v="5"/>
    <x v="5"/>
    <n v="9814"/>
    <n v="0"/>
    <n v="0"/>
  </r>
  <r>
    <s v="P003"/>
    <x v="2"/>
    <x v="2"/>
    <x v="3"/>
    <x v="2"/>
    <x v="6"/>
    <x v="2"/>
    <x v="2"/>
    <x v="0"/>
    <x v="6"/>
    <x v="1"/>
    <x v="3"/>
    <x v="6"/>
    <x v="2"/>
    <n v="7981"/>
    <n v="7717"/>
    <n v="0.96692143841623857"/>
  </r>
  <r>
    <s v="P003"/>
    <x v="2"/>
    <x v="2"/>
    <x v="6"/>
    <x v="2"/>
    <x v="7"/>
    <x v="2"/>
    <x v="0"/>
    <x v="1"/>
    <x v="7"/>
    <x v="1"/>
    <x v="4"/>
    <x v="7"/>
    <x v="2"/>
    <n v="1032"/>
    <n v="637"/>
    <n v="0.61724806201550386"/>
  </r>
  <r>
    <s v="P003"/>
    <x v="2"/>
    <x v="2"/>
    <x v="2"/>
    <x v="2"/>
    <x v="6"/>
    <x v="2"/>
    <x v="0"/>
    <x v="2"/>
    <x v="8"/>
    <x v="1"/>
    <x v="3"/>
    <x v="8"/>
    <x v="2"/>
    <n v="8546"/>
    <n v="8502"/>
    <n v="0.99485139246431076"/>
  </r>
  <r>
    <s v="P004"/>
    <x v="3"/>
    <x v="3"/>
    <x v="3"/>
    <x v="3"/>
    <x v="8"/>
    <x v="2"/>
    <x v="0"/>
    <x v="0"/>
    <x v="9"/>
    <x v="1"/>
    <x v="4"/>
    <x v="5"/>
    <x v="2"/>
    <n v="3728"/>
    <n v="3369"/>
    <n v="0.90370171673819744"/>
  </r>
  <r>
    <s v="P004"/>
    <x v="3"/>
    <x v="3"/>
    <x v="0"/>
    <x v="3"/>
    <x v="9"/>
    <x v="2"/>
    <x v="1"/>
    <x v="1"/>
    <x v="10"/>
    <x v="0"/>
    <x v="1"/>
    <x v="4"/>
    <x v="6"/>
    <n v="9707"/>
    <n v="0"/>
    <n v="0"/>
  </r>
  <r>
    <s v="P004"/>
    <x v="3"/>
    <x v="3"/>
    <x v="0"/>
    <x v="3"/>
    <x v="10"/>
    <x v="2"/>
    <x v="0"/>
    <x v="2"/>
    <x v="11"/>
    <x v="2"/>
    <x v="1"/>
    <x v="9"/>
    <x v="7"/>
    <n v="5712"/>
    <n v="0"/>
    <n v="0"/>
  </r>
  <r>
    <s v="P005"/>
    <x v="4"/>
    <x v="4"/>
    <x v="7"/>
    <x v="4"/>
    <x v="11"/>
    <x v="0"/>
    <x v="0"/>
    <x v="0"/>
    <x v="12"/>
    <x v="2"/>
    <x v="1"/>
    <x v="9"/>
    <x v="8"/>
    <n v="3453"/>
    <n v="0"/>
    <n v="0"/>
  </r>
  <r>
    <s v="P005"/>
    <x v="4"/>
    <x v="4"/>
    <x v="5"/>
    <x v="4"/>
    <x v="12"/>
    <x v="0"/>
    <x v="0"/>
    <x v="1"/>
    <x v="13"/>
    <x v="1"/>
    <x v="4"/>
    <x v="6"/>
    <x v="2"/>
    <n v="2896"/>
    <n v="2643"/>
    <n v="0.91263812154696133"/>
  </r>
  <r>
    <s v="P005"/>
    <x v="4"/>
    <x v="4"/>
    <x v="6"/>
    <x v="4"/>
    <x v="13"/>
    <x v="0"/>
    <x v="1"/>
    <x v="2"/>
    <x v="14"/>
    <x v="2"/>
    <x v="3"/>
    <x v="10"/>
    <x v="9"/>
    <n v="6463"/>
    <n v="0"/>
    <n v="0"/>
  </r>
  <r>
    <s v="P006"/>
    <x v="5"/>
    <x v="0"/>
    <x v="7"/>
    <x v="5"/>
    <x v="14"/>
    <x v="0"/>
    <x v="2"/>
    <x v="0"/>
    <x v="15"/>
    <x v="1"/>
    <x v="2"/>
    <x v="11"/>
    <x v="2"/>
    <n v="3206"/>
    <n v="2739"/>
    <n v="0.85433562071116653"/>
  </r>
  <r>
    <s v="P006"/>
    <x v="5"/>
    <x v="0"/>
    <x v="8"/>
    <x v="5"/>
    <x v="14"/>
    <x v="0"/>
    <x v="0"/>
    <x v="1"/>
    <x v="16"/>
    <x v="1"/>
    <x v="4"/>
    <x v="12"/>
    <x v="2"/>
    <n v="6477"/>
    <n v="6402"/>
    <n v="0.98842056507642428"/>
  </r>
  <r>
    <s v="P006"/>
    <x v="5"/>
    <x v="0"/>
    <x v="3"/>
    <x v="5"/>
    <x v="15"/>
    <x v="0"/>
    <x v="1"/>
    <x v="2"/>
    <x v="17"/>
    <x v="0"/>
    <x v="1"/>
    <x v="12"/>
    <x v="10"/>
    <n v="8634"/>
    <n v="0"/>
    <n v="0"/>
  </r>
  <r>
    <s v="P007"/>
    <x v="6"/>
    <x v="5"/>
    <x v="5"/>
    <x v="6"/>
    <x v="16"/>
    <x v="1"/>
    <x v="1"/>
    <x v="0"/>
    <x v="18"/>
    <x v="2"/>
    <x v="5"/>
    <x v="13"/>
    <x v="11"/>
    <n v="2552"/>
    <n v="0"/>
    <n v="0"/>
  </r>
  <r>
    <s v="P007"/>
    <x v="6"/>
    <x v="5"/>
    <x v="9"/>
    <x v="6"/>
    <x v="17"/>
    <x v="1"/>
    <x v="0"/>
    <x v="1"/>
    <x v="19"/>
    <x v="2"/>
    <x v="3"/>
    <x v="14"/>
    <x v="12"/>
    <n v="4699"/>
    <n v="0"/>
    <n v="0"/>
  </r>
  <r>
    <s v="P007"/>
    <x v="6"/>
    <x v="5"/>
    <x v="3"/>
    <x v="6"/>
    <x v="16"/>
    <x v="1"/>
    <x v="2"/>
    <x v="2"/>
    <x v="20"/>
    <x v="2"/>
    <x v="5"/>
    <x v="15"/>
    <x v="13"/>
    <n v="1720"/>
    <n v="0"/>
    <n v="0"/>
  </r>
  <r>
    <s v="P008"/>
    <x v="7"/>
    <x v="2"/>
    <x v="10"/>
    <x v="7"/>
    <x v="18"/>
    <x v="1"/>
    <x v="0"/>
    <x v="0"/>
    <x v="21"/>
    <x v="2"/>
    <x v="2"/>
    <x v="16"/>
    <x v="14"/>
    <n v="9458"/>
    <n v="0"/>
    <n v="0"/>
  </r>
  <r>
    <s v="P008"/>
    <x v="7"/>
    <x v="2"/>
    <x v="11"/>
    <x v="7"/>
    <x v="19"/>
    <x v="1"/>
    <x v="2"/>
    <x v="1"/>
    <x v="22"/>
    <x v="2"/>
    <x v="1"/>
    <x v="17"/>
    <x v="15"/>
    <n v="4735"/>
    <n v="0"/>
    <n v="0"/>
  </r>
  <r>
    <s v="P008"/>
    <x v="7"/>
    <x v="2"/>
    <x v="12"/>
    <x v="7"/>
    <x v="20"/>
    <x v="1"/>
    <x v="1"/>
    <x v="2"/>
    <x v="23"/>
    <x v="2"/>
    <x v="1"/>
    <x v="6"/>
    <x v="16"/>
    <n v="9460"/>
    <n v="0"/>
    <n v="0"/>
  </r>
  <r>
    <s v="P009"/>
    <x v="8"/>
    <x v="5"/>
    <x v="0"/>
    <x v="8"/>
    <x v="21"/>
    <x v="3"/>
    <x v="1"/>
    <x v="0"/>
    <x v="24"/>
    <x v="2"/>
    <x v="1"/>
    <x v="18"/>
    <x v="17"/>
    <n v="6385"/>
    <n v="0"/>
    <n v="0"/>
  </r>
  <r>
    <s v="P009"/>
    <x v="8"/>
    <x v="5"/>
    <x v="6"/>
    <x v="8"/>
    <x v="22"/>
    <x v="3"/>
    <x v="0"/>
    <x v="1"/>
    <x v="25"/>
    <x v="2"/>
    <x v="5"/>
    <x v="19"/>
    <x v="18"/>
    <n v="7980"/>
    <n v="0"/>
    <n v="0"/>
  </r>
  <r>
    <s v="P009"/>
    <x v="8"/>
    <x v="5"/>
    <x v="2"/>
    <x v="8"/>
    <x v="23"/>
    <x v="3"/>
    <x v="2"/>
    <x v="2"/>
    <x v="26"/>
    <x v="2"/>
    <x v="1"/>
    <x v="4"/>
    <x v="19"/>
    <n v="1106"/>
    <n v="0"/>
    <n v="0"/>
  </r>
  <r>
    <s v="P010"/>
    <x v="9"/>
    <x v="5"/>
    <x v="1"/>
    <x v="9"/>
    <x v="24"/>
    <x v="1"/>
    <x v="1"/>
    <x v="0"/>
    <x v="27"/>
    <x v="2"/>
    <x v="3"/>
    <x v="13"/>
    <x v="20"/>
    <n v="1577"/>
    <n v="4850"/>
    <n v="3.0754597336715284"/>
  </r>
  <r>
    <s v="P010"/>
    <x v="9"/>
    <x v="5"/>
    <x v="2"/>
    <x v="9"/>
    <x v="25"/>
    <x v="1"/>
    <x v="1"/>
    <x v="1"/>
    <x v="28"/>
    <x v="2"/>
    <x v="2"/>
    <x v="20"/>
    <x v="21"/>
    <n v="3110"/>
    <n v="0"/>
    <n v="0"/>
  </r>
  <r>
    <s v="P010"/>
    <x v="9"/>
    <x v="5"/>
    <x v="2"/>
    <x v="9"/>
    <x v="26"/>
    <x v="1"/>
    <x v="2"/>
    <x v="2"/>
    <x v="29"/>
    <x v="2"/>
    <x v="1"/>
    <x v="21"/>
    <x v="22"/>
    <n v="3432"/>
    <n v="0"/>
    <n v="0"/>
  </r>
  <r>
    <s v="P011"/>
    <x v="10"/>
    <x v="0"/>
    <x v="0"/>
    <x v="10"/>
    <x v="27"/>
    <x v="2"/>
    <x v="1"/>
    <x v="0"/>
    <x v="30"/>
    <x v="0"/>
    <x v="6"/>
    <x v="22"/>
    <x v="23"/>
    <n v="3544"/>
    <n v="0"/>
    <n v="0"/>
  </r>
  <r>
    <s v="P011"/>
    <x v="10"/>
    <x v="0"/>
    <x v="12"/>
    <x v="10"/>
    <x v="28"/>
    <x v="2"/>
    <x v="1"/>
    <x v="1"/>
    <x v="31"/>
    <x v="0"/>
    <x v="6"/>
    <x v="12"/>
    <x v="24"/>
    <n v="7808"/>
    <n v="0"/>
    <n v="0"/>
  </r>
  <r>
    <s v="P011"/>
    <x v="10"/>
    <x v="0"/>
    <x v="9"/>
    <x v="10"/>
    <x v="29"/>
    <x v="2"/>
    <x v="1"/>
    <x v="2"/>
    <x v="32"/>
    <x v="2"/>
    <x v="2"/>
    <x v="23"/>
    <x v="25"/>
    <n v="1776"/>
    <n v="0"/>
    <n v="0"/>
  </r>
  <r>
    <s v="P012"/>
    <x v="11"/>
    <x v="2"/>
    <x v="12"/>
    <x v="11"/>
    <x v="30"/>
    <x v="2"/>
    <x v="1"/>
    <x v="0"/>
    <x v="33"/>
    <x v="1"/>
    <x v="4"/>
    <x v="22"/>
    <x v="2"/>
    <n v="1815"/>
    <n v="1679"/>
    <n v="0.92506887052341602"/>
  </r>
  <r>
    <s v="P012"/>
    <x v="11"/>
    <x v="2"/>
    <x v="2"/>
    <x v="11"/>
    <x v="30"/>
    <x v="2"/>
    <x v="1"/>
    <x v="1"/>
    <x v="34"/>
    <x v="1"/>
    <x v="0"/>
    <x v="12"/>
    <x v="2"/>
    <n v="8915"/>
    <n v="8464"/>
    <n v="0.94941110487941671"/>
  </r>
  <r>
    <s v="P012"/>
    <x v="11"/>
    <x v="2"/>
    <x v="4"/>
    <x v="11"/>
    <x v="31"/>
    <x v="2"/>
    <x v="0"/>
    <x v="2"/>
    <x v="35"/>
    <x v="2"/>
    <x v="2"/>
    <x v="9"/>
    <x v="26"/>
    <n v="9242"/>
    <n v="0"/>
    <n v="0"/>
  </r>
  <r>
    <s v="P013"/>
    <x v="12"/>
    <x v="5"/>
    <x v="9"/>
    <x v="12"/>
    <x v="32"/>
    <x v="3"/>
    <x v="0"/>
    <x v="0"/>
    <x v="36"/>
    <x v="1"/>
    <x v="2"/>
    <x v="0"/>
    <x v="2"/>
    <n v="9559"/>
    <n v="9379"/>
    <n v="0.98116957840778329"/>
  </r>
  <r>
    <s v="P013"/>
    <x v="12"/>
    <x v="5"/>
    <x v="7"/>
    <x v="12"/>
    <x v="33"/>
    <x v="3"/>
    <x v="0"/>
    <x v="1"/>
    <x v="37"/>
    <x v="0"/>
    <x v="0"/>
    <x v="24"/>
    <x v="27"/>
    <n v="4795"/>
    <n v="0"/>
    <n v="0"/>
  </r>
  <r>
    <s v="P013"/>
    <x v="12"/>
    <x v="5"/>
    <x v="5"/>
    <x v="12"/>
    <x v="27"/>
    <x v="3"/>
    <x v="0"/>
    <x v="2"/>
    <x v="38"/>
    <x v="0"/>
    <x v="2"/>
    <x v="25"/>
    <x v="28"/>
    <n v="5258"/>
    <n v="0"/>
    <n v="0"/>
  </r>
  <r>
    <s v="P014"/>
    <x v="13"/>
    <x v="0"/>
    <x v="2"/>
    <x v="13"/>
    <x v="34"/>
    <x v="0"/>
    <x v="2"/>
    <x v="0"/>
    <x v="39"/>
    <x v="0"/>
    <x v="3"/>
    <x v="26"/>
    <x v="20"/>
    <n v="8531"/>
    <n v="0"/>
    <n v="0"/>
  </r>
  <r>
    <s v="P014"/>
    <x v="13"/>
    <x v="0"/>
    <x v="2"/>
    <x v="13"/>
    <x v="35"/>
    <x v="0"/>
    <x v="2"/>
    <x v="1"/>
    <x v="40"/>
    <x v="2"/>
    <x v="1"/>
    <x v="27"/>
    <x v="29"/>
    <n v="3564"/>
    <n v="0"/>
    <n v="0"/>
  </r>
  <r>
    <s v="P014"/>
    <x v="13"/>
    <x v="0"/>
    <x v="1"/>
    <x v="13"/>
    <x v="36"/>
    <x v="0"/>
    <x v="0"/>
    <x v="2"/>
    <x v="41"/>
    <x v="2"/>
    <x v="1"/>
    <x v="25"/>
    <x v="30"/>
    <n v="6213"/>
    <n v="0"/>
    <n v="0"/>
  </r>
  <r>
    <s v="P015"/>
    <x v="14"/>
    <x v="5"/>
    <x v="12"/>
    <x v="14"/>
    <x v="37"/>
    <x v="3"/>
    <x v="1"/>
    <x v="0"/>
    <x v="42"/>
    <x v="1"/>
    <x v="5"/>
    <x v="27"/>
    <x v="2"/>
    <n v="4714"/>
    <n v="4608"/>
    <n v="0.97751378871446759"/>
  </r>
  <r>
    <s v="P015"/>
    <x v="14"/>
    <x v="5"/>
    <x v="1"/>
    <x v="14"/>
    <x v="37"/>
    <x v="3"/>
    <x v="0"/>
    <x v="1"/>
    <x v="43"/>
    <x v="1"/>
    <x v="1"/>
    <x v="1"/>
    <x v="2"/>
    <n v="1026"/>
    <n v="528"/>
    <n v="0.51461988304093564"/>
  </r>
  <r>
    <s v="P015"/>
    <x v="14"/>
    <x v="5"/>
    <x v="8"/>
    <x v="14"/>
    <x v="37"/>
    <x v="3"/>
    <x v="1"/>
    <x v="2"/>
    <x v="44"/>
    <x v="1"/>
    <x v="0"/>
    <x v="28"/>
    <x v="2"/>
    <n v="5365"/>
    <n v="5232"/>
    <n v="0.97520969245107181"/>
  </r>
  <r>
    <s v="P016"/>
    <x v="15"/>
    <x v="0"/>
    <x v="12"/>
    <x v="15"/>
    <x v="7"/>
    <x v="2"/>
    <x v="0"/>
    <x v="0"/>
    <x v="45"/>
    <x v="1"/>
    <x v="0"/>
    <x v="2"/>
    <x v="2"/>
    <n v="3688"/>
    <n v="3610"/>
    <n v="0.97885032537960959"/>
  </r>
  <r>
    <s v="P016"/>
    <x v="15"/>
    <x v="0"/>
    <x v="0"/>
    <x v="15"/>
    <x v="38"/>
    <x v="2"/>
    <x v="1"/>
    <x v="1"/>
    <x v="46"/>
    <x v="2"/>
    <x v="6"/>
    <x v="29"/>
    <x v="31"/>
    <n v="3233"/>
    <n v="0"/>
    <n v="0"/>
  </r>
  <r>
    <s v="P016"/>
    <x v="15"/>
    <x v="0"/>
    <x v="9"/>
    <x v="15"/>
    <x v="39"/>
    <x v="2"/>
    <x v="0"/>
    <x v="2"/>
    <x v="47"/>
    <x v="2"/>
    <x v="6"/>
    <x v="14"/>
    <x v="28"/>
    <n v="8366"/>
    <n v="0"/>
    <n v="0"/>
  </r>
  <r>
    <s v="P017"/>
    <x v="16"/>
    <x v="1"/>
    <x v="6"/>
    <x v="16"/>
    <x v="40"/>
    <x v="1"/>
    <x v="2"/>
    <x v="0"/>
    <x v="48"/>
    <x v="2"/>
    <x v="6"/>
    <x v="12"/>
    <x v="32"/>
    <n v="1856"/>
    <n v="0"/>
    <n v="0"/>
  </r>
  <r>
    <s v="P017"/>
    <x v="16"/>
    <x v="1"/>
    <x v="10"/>
    <x v="16"/>
    <x v="41"/>
    <x v="1"/>
    <x v="1"/>
    <x v="1"/>
    <x v="49"/>
    <x v="1"/>
    <x v="1"/>
    <x v="30"/>
    <x v="2"/>
    <n v="5620"/>
    <n v="5481"/>
    <n v="0.9752669039145907"/>
  </r>
  <r>
    <s v="P017"/>
    <x v="16"/>
    <x v="1"/>
    <x v="12"/>
    <x v="16"/>
    <x v="42"/>
    <x v="1"/>
    <x v="1"/>
    <x v="2"/>
    <x v="50"/>
    <x v="0"/>
    <x v="2"/>
    <x v="9"/>
    <x v="11"/>
    <n v="1904"/>
    <n v="0"/>
    <n v="0"/>
  </r>
  <r>
    <s v="P018"/>
    <x v="17"/>
    <x v="2"/>
    <x v="2"/>
    <x v="12"/>
    <x v="43"/>
    <x v="0"/>
    <x v="0"/>
    <x v="0"/>
    <x v="51"/>
    <x v="0"/>
    <x v="3"/>
    <x v="4"/>
    <x v="33"/>
    <n v="5908"/>
    <n v="0"/>
    <n v="0"/>
  </r>
  <r>
    <s v="P018"/>
    <x v="17"/>
    <x v="2"/>
    <x v="8"/>
    <x v="12"/>
    <x v="44"/>
    <x v="0"/>
    <x v="0"/>
    <x v="1"/>
    <x v="52"/>
    <x v="0"/>
    <x v="3"/>
    <x v="31"/>
    <x v="34"/>
    <n v="2176"/>
    <n v="0"/>
    <n v="0"/>
  </r>
  <r>
    <s v="P018"/>
    <x v="17"/>
    <x v="2"/>
    <x v="3"/>
    <x v="12"/>
    <x v="45"/>
    <x v="0"/>
    <x v="0"/>
    <x v="2"/>
    <x v="53"/>
    <x v="2"/>
    <x v="3"/>
    <x v="6"/>
    <x v="35"/>
    <n v="9002"/>
    <n v="0"/>
    <n v="0"/>
  </r>
  <r>
    <s v="P019"/>
    <x v="18"/>
    <x v="3"/>
    <x v="0"/>
    <x v="17"/>
    <x v="46"/>
    <x v="0"/>
    <x v="1"/>
    <x v="0"/>
    <x v="54"/>
    <x v="2"/>
    <x v="3"/>
    <x v="21"/>
    <x v="36"/>
    <n v="6821"/>
    <n v="0"/>
    <n v="0"/>
  </r>
  <r>
    <s v="P019"/>
    <x v="18"/>
    <x v="3"/>
    <x v="2"/>
    <x v="17"/>
    <x v="7"/>
    <x v="0"/>
    <x v="0"/>
    <x v="1"/>
    <x v="55"/>
    <x v="1"/>
    <x v="5"/>
    <x v="23"/>
    <x v="2"/>
    <n v="7324"/>
    <n v="7263"/>
    <n v="0.99167121791370838"/>
  </r>
  <r>
    <s v="P019"/>
    <x v="18"/>
    <x v="3"/>
    <x v="12"/>
    <x v="17"/>
    <x v="47"/>
    <x v="0"/>
    <x v="0"/>
    <x v="2"/>
    <x v="56"/>
    <x v="2"/>
    <x v="1"/>
    <x v="8"/>
    <x v="37"/>
    <n v="3099"/>
    <n v="0"/>
    <n v="0"/>
  </r>
  <r>
    <s v="P020"/>
    <x v="19"/>
    <x v="4"/>
    <x v="7"/>
    <x v="18"/>
    <x v="48"/>
    <x v="2"/>
    <x v="0"/>
    <x v="0"/>
    <x v="57"/>
    <x v="1"/>
    <x v="6"/>
    <x v="9"/>
    <x v="2"/>
    <n v="7962"/>
    <n v="7526"/>
    <n v="0.94523988947500626"/>
  </r>
  <r>
    <s v="P020"/>
    <x v="19"/>
    <x v="4"/>
    <x v="5"/>
    <x v="18"/>
    <x v="12"/>
    <x v="2"/>
    <x v="1"/>
    <x v="1"/>
    <x v="58"/>
    <x v="0"/>
    <x v="3"/>
    <x v="32"/>
    <x v="38"/>
    <n v="7221"/>
    <n v="0"/>
    <n v="0"/>
  </r>
  <r>
    <s v="P020"/>
    <x v="19"/>
    <x v="4"/>
    <x v="7"/>
    <x v="18"/>
    <x v="49"/>
    <x v="2"/>
    <x v="1"/>
    <x v="2"/>
    <x v="59"/>
    <x v="2"/>
    <x v="3"/>
    <x v="3"/>
    <x v="39"/>
    <n v="7256"/>
    <n v="0"/>
    <n v="0"/>
  </r>
  <r>
    <s v="P021"/>
    <x v="20"/>
    <x v="0"/>
    <x v="8"/>
    <x v="19"/>
    <x v="50"/>
    <x v="0"/>
    <x v="1"/>
    <x v="0"/>
    <x v="60"/>
    <x v="0"/>
    <x v="2"/>
    <x v="4"/>
    <x v="40"/>
    <n v="8483"/>
    <n v="0"/>
    <n v="0"/>
  </r>
  <r>
    <s v="P021"/>
    <x v="20"/>
    <x v="0"/>
    <x v="7"/>
    <x v="19"/>
    <x v="7"/>
    <x v="0"/>
    <x v="1"/>
    <x v="1"/>
    <x v="61"/>
    <x v="1"/>
    <x v="4"/>
    <x v="17"/>
    <x v="2"/>
    <n v="2463"/>
    <n v="2091"/>
    <n v="0.84896467722289892"/>
  </r>
  <r>
    <s v="P021"/>
    <x v="20"/>
    <x v="0"/>
    <x v="12"/>
    <x v="19"/>
    <x v="51"/>
    <x v="0"/>
    <x v="1"/>
    <x v="2"/>
    <x v="62"/>
    <x v="1"/>
    <x v="5"/>
    <x v="22"/>
    <x v="2"/>
    <n v="8372"/>
    <n v="7940"/>
    <n v="0.9483994266602962"/>
  </r>
  <r>
    <s v="P022"/>
    <x v="21"/>
    <x v="5"/>
    <x v="7"/>
    <x v="20"/>
    <x v="52"/>
    <x v="1"/>
    <x v="1"/>
    <x v="0"/>
    <x v="63"/>
    <x v="0"/>
    <x v="5"/>
    <x v="25"/>
    <x v="41"/>
    <n v="8903"/>
    <n v="0"/>
    <n v="0"/>
  </r>
  <r>
    <s v="P022"/>
    <x v="21"/>
    <x v="5"/>
    <x v="5"/>
    <x v="20"/>
    <x v="53"/>
    <x v="1"/>
    <x v="0"/>
    <x v="1"/>
    <x v="64"/>
    <x v="0"/>
    <x v="3"/>
    <x v="6"/>
    <x v="27"/>
    <n v="1255"/>
    <n v="0"/>
    <n v="0"/>
  </r>
  <r>
    <s v="P022"/>
    <x v="21"/>
    <x v="5"/>
    <x v="6"/>
    <x v="20"/>
    <x v="54"/>
    <x v="1"/>
    <x v="1"/>
    <x v="2"/>
    <x v="65"/>
    <x v="0"/>
    <x v="5"/>
    <x v="9"/>
    <x v="42"/>
    <n v="1424"/>
    <n v="2183"/>
    <n v="1.533005617977528"/>
  </r>
  <r>
    <s v="P023"/>
    <x v="22"/>
    <x v="2"/>
    <x v="6"/>
    <x v="21"/>
    <x v="55"/>
    <x v="0"/>
    <x v="1"/>
    <x v="0"/>
    <x v="66"/>
    <x v="2"/>
    <x v="2"/>
    <x v="16"/>
    <x v="16"/>
    <n v="3662"/>
    <n v="0"/>
    <n v="0"/>
  </r>
  <r>
    <s v="P023"/>
    <x v="22"/>
    <x v="2"/>
    <x v="8"/>
    <x v="21"/>
    <x v="56"/>
    <x v="0"/>
    <x v="0"/>
    <x v="1"/>
    <x v="67"/>
    <x v="2"/>
    <x v="1"/>
    <x v="29"/>
    <x v="25"/>
    <n v="2437"/>
    <n v="0"/>
    <n v="0"/>
  </r>
  <r>
    <s v="P023"/>
    <x v="22"/>
    <x v="2"/>
    <x v="10"/>
    <x v="21"/>
    <x v="57"/>
    <x v="0"/>
    <x v="2"/>
    <x v="2"/>
    <x v="68"/>
    <x v="0"/>
    <x v="1"/>
    <x v="33"/>
    <x v="16"/>
    <n v="7519"/>
    <n v="0"/>
    <n v="0"/>
  </r>
  <r>
    <s v="P024"/>
    <x v="23"/>
    <x v="5"/>
    <x v="10"/>
    <x v="22"/>
    <x v="58"/>
    <x v="2"/>
    <x v="0"/>
    <x v="0"/>
    <x v="69"/>
    <x v="0"/>
    <x v="1"/>
    <x v="23"/>
    <x v="43"/>
    <n v="5955"/>
    <n v="0"/>
    <n v="0"/>
  </r>
  <r>
    <s v="P024"/>
    <x v="23"/>
    <x v="5"/>
    <x v="9"/>
    <x v="22"/>
    <x v="59"/>
    <x v="2"/>
    <x v="2"/>
    <x v="1"/>
    <x v="70"/>
    <x v="2"/>
    <x v="5"/>
    <x v="23"/>
    <x v="44"/>
    <n v="1799"/>
    <n v="0"/>
    <n v="0"/>
  </r>
  <r>
    <s v="P024"/>
    <x v="23"/>
    <x v="5"/>
    <x v="7"/>
    <x v="22"/>
    <x v="60"/>
    <x v="2"/>
    <x v="0"/>
    <x v="2"/>
    <x v="71"/>
    <x v="1"/>
    <x v="6"/>
    <x v="3"/>
    <x v="2"/>
    <n v="8925"/>
    <n v="8659"/>
    <n v="0.97019607843137257"/>
  </r>
  <r>
    <s v="P025"/>
    <x v="24"/>
    <x v="5"/>
    <x v="11"/>
    <x v="23"/>
    <x v="61"/>
    <x v="3"/>
    <x v="1"/>
    <x v="0"/>
    <x v="72"/>
    <x v="1"/>
    <x v="2"/>
    <x v="31"/>
    <x v="2"/>
    <n v="8938"/>
    <n v="8487"/>
    <n v="0.94954128440366969"/>
  </r>
  <r>
    <s v="P025"/>
    <x v="24"/>
    <x v="5"/>
    <x v="1"/>
    <x v="23"/>
    <x v="62"/>
    <x v="3"/>
    <x v="2"/>
    <x v="1"/>
    <x v="73"/>
    <x v="0"/>
    <x v="7"/>
    <x v="15"/>
    <x v="45"/>
    <n v="8533"/>
    <n v="0"/>
    <n v="0"/>
  </r>
  <r>
    <s v="P025"/>
    <x v="24"/>
    <x v="5"/>
    <x v="4"/>
    <x v="23"/>
    <x v="48"/>
    <x v="3"/>
    <x v="0"/>
    <x v="2"/>
    <x v="74"/>
    <x v="0"/>
    <x v="1"/>
    <x v="20"/>
    <x v="46"/>
    <n v="8402"/>
    <n v="0"/>
    <n v="0"/>
  </r>
  <r>
    <s v="P026"/>
    <x v="25"/>
    <x v="0"/>
    <x v="3"/>
    <x v="24"/>
    <x v="63"/>
    <x v="3"/>
    <x v="2"/>
    <x v="0"/>
    <x v="75"/>
    <x v="0"/>
    <x v="6"/>
    <x v="17"/>
    <x v="20"/>
    <n v="6524"/>
    <n v="0"/>
    <n v="0"/>
  </r>
  <r>
    <s v="P026"/>
    <x v="25"/>
    <x v="0"/>
    <x v="10"/>
    <x v="24"/>
    <x v="2"/>
    <x v="3"/>
    <x v="0"/>
    <x v="1"/>
    <x v="76"/>
    <x v="1"/>
    <x v="6"/>
    <x v="30"/>
    <x v="2"/>
    <n v="8061"/>
    <n v="8002"/>
    <n v="0.99268080883265108"/>
  </r>
  <r>
    <s v="P026"/>
    <x v="25"/>
    <x v="0"/>
    <x v="12"/>
    <x v="24"/>
    <x v="64"/>
    <x v="3"/>
    <x v="1"/>
    <x v="2"/>
    <x v="77"/>
    <x v="2"/>
    <x v="2"/>
    <x v="34"/>
    <x v="29"/>
    <n v="2436"/>
    <n v="0"/>
    <n v="0"/>
  </r>
  <r>
    <s v="P027"/>
    <x v="26"/>
    <x v="2"/>
    <x v="7"/>
    <x v="25"/>
    <x v="65"/>
    <x v="2"/>
    <x v="1"/>
    <x v="0"/>
    <x v="78"/>
    <x v="0"/>
    <x v="4"/>
    <x v="18"/>
    <x v="38"/>
    <n v="9670"/>
    <n v="0"/>
    <n v="0"/>
  </r>
  <r>
    <s v="P027"/>
    <x v="26"/>
    <x v="2"/>
    <x v="11"/>
    <x v="25"/>
    <x v="66"/>
    <x v="2"/>
    <x v="2"/>
    <x v="1"/>
    <x v="79"/>
    <x v="0"/>
    <x v="0"/>
    <x v="6"/>
    <x v="2"/>
    <n v="1646"/>
    <n v="4190"/>
    <n v="2.5455650060753343"/>
  </r>
  <r>
    <s v="P027"/>
    <x v="26"/>
    <x v="2"/>
    <x v="2"/>
    <x v="25"/>
    <x v="67"/>
    <x v="2"/>
    <x v="0"/>
    <x v="2"/>
    <x v="80"/>
    <x v="0"/>
    <x v="2"/>
    <x v="35"/>
    <x v="47"/>
    <n v="3853"/>
    <n v="0"/>
    <n v="0"/>
  </r>
  <r>
    <s v="P028"/>
    <x v="27"/>
    <x v="5"/>
    <x v="5"/>
    <x v="26"/>
    <x v="67"/>
    <x v="0"/>
    <x v="0"/>
    <x v="0"/>
    <x v="81"/>
    <x v="2"/>
    <x v="2"/>
    <x v="28"/>
    <x v="48"/>
    <n v="5266"/>
    <n v="0"/>
    <n v="0"/>
  </r>
  <r>
    <s v="P028"/>
    <x v="27"/>
    <x v="5"/>
    <x v="5"/>
    <x v="26"/>
    <x v="68"/>
    <x v="0"/>
    <x v="0"/>
    <x v="1"/>
    <x v="82"/>
    <x v="2"/>
    <x v="0"/>
    <x v="20"/>
    <x v="8"/>
    <n v="4878"/>
    <n v="0"/>
    <n v="0"/>
  </r>
  <r>
    <s v="P028"/>
    <x v="27"/>
    <x v="5"/>
    <x v="4"/>
    <x v="26"/>
    <x v="69"/>
    <x v="0"/>
    <x v="2"/>
    <x v="2"/>
    <x v="83"/>
    <x v="2"/>
    <x v="7"/>
    <x v="7"/>
    <x v="26"/>
    <n v="4589"/>
    <n v="0"/>
    <n v="0"/>
  </r>
  <r>
    <s v="P029"/>
    <x v="28"/>
    <x v="0"/>
    <x v="8"/>
    <x v="18"/>
    <x v="70"/>
    <x v="1"/>
    <x v="2"/>
    <x v="0"/>
    <x v="84"/>
    <x v="1"/>
    <x v="3"/>
    <x v="36"/>
    <x v="2"/>
    <n v="3498"/>
    <n v="3235"/>
    <n v="0.92481417953116063"/>
  </r>
  <r>
    <s v="P029"/>
    <x v="28"/>
    <x v="0"/>
    <x v="7"/>
    <x v="18"/>
    <x v="71"/>
    <x v="1"/>
    <x v="1"/>
    <x v="1"/>
    <x v="85"/>
    <x v="2"/>
    <x v="1"/>
    <x v="35"/>
    <x v="49"/>
    <n v="7342"/>
    <n v="0"/>
    <n v="0"/>
  </r>
  <r>
    <s v="P029"/>
    <x v="28"/>
    <x v="0"/>
    <x v="6"/>
    <x v="18"/>
    <x v="72"/>
    <x v="1"/>
    <x v="1"/>
    <x v="2"/>
    <x v="86"/>
    <x v="2"/>
    <x v="1"/>
    <x v="28"/>
    <x v="50"/>
    <n v="3172"/>
    <n v="0"/>
    <n v="0"/>
  </r>
  <r>
    <s v="P030"/>
    <x v="29"/>
    <x v="5"/>
    <x v="11"/>
    <x v="27"/>
    <x v="73"/>
    <x v="1"/>
    <x v="1"/>
    <x v="0"/>
    <x v="87"/>
    <x v="2"/>
    <x v="5"/>
    <x v="36"/>
    <x v="51"/>
    <n v="8742"/>
    <n v="0"/>
    <n v="0"/>
  </r>
  <r>
    <s v="P030"/>
    <x v="29"/>
    <x v="5"/>
    <x v="3"/>
    <x v="27"/>
    <x v="73"/>
    <x v="1"/>
    <x v="1"/>
    <x v="1"/>
    <x v="88"/>
    <x v="2"/>
    <x v="1"/>
    <x v="23"/>
    <x v="27"/>
    <n v="4274"/>
    <n v="0"/>
    <n v="0"/>
  </r>
  <r>
    <s v="P030"/>
    <x v="29"/>
    <x v="5"/>
    <x v="4"/>
    <x v="27"/>
    <x v="73"/>
    <x v="1"/>
    <x v="1"/>
    <x v="2"/>
    <x v="89"/>
    <x v="0"/>
    <x v="0"/>
    <x v="20"/>
    <x v="10"/>
    <n v="3338"/>
    <n v="0"/>
    <n v="0"/>
  </r>
  <r>
    <s v="P031"/>
    <x v="30"/>
    <x v="0"/>
    <x v="10"/>
    <x v="28"/>
    <x v="74"/>
    <x v="1"/>
    <x v="1"/>
    <x v="0"/>
    <x v="90"/>
    <x v="0"/>
    <x v="0"/>
    <x v="19"/>
    <x v="16"/>
    <n v="3147"/>
    <n v="0"/>
    <n v="0"/>
  </r>
  <r>
    <s v="P031"/>
    <x v="30"/>
    <x v="0"/>
    <x v="12"/>
    <x v="28"/>
    <x v="75"/>
    <x v="1"/>
    <x v="1"/>
    <x v="1"/>
    <x v="91"/>
    <x v="0"/>
    <x v="6"/>
    <x v="21"/>
    <x v="51"/>
    <n v="8355"/>
    <n v="0"/>
    <n v="0"/>
  </r>
  <r>
    <s v="P031"/>
    <x v="30"/>
    <x v="0"/>
    <x v="12"/>
    <x v="28"/>
    <x v="76"/>
    <x v="1"/>
    <x v="0"/>
    <x v="2"/>
    <x v="92"/>
    <x v="1"/>
    <x v="6"/>
    <x v="2"/>
    <x v="2"/>
    <n v="4000"/>
    <n v="3595"/>
    <n v="0.89875000000000005"/>
  </r>
  <r>
    <s v="P032"/>
    <x v="31"/>
    <x v="1"/>
    <x v="1"/>
    <x v="29"/>
    <x v="77"/>
    <x v="3"/>
    <x v="1"/>
    <x v="0"/>
    <x v="93"/>
    <x v="0"/>
    <x v="6"/>
    <x v="0"/>
    <x v="34"/>
    <n v="4133"/>
    <n v="0"/>
    <n v="0"/>
  </r>
  <r>
    <s v="P032"/>
    <x v="31"/>
    <x v="1"/>
    <x v="4"/>
    <x v="29"/>
    <x v="78"/>
    <x v="3"/>
    <x v="0"/>
    <x v="1"/>
    <x v="94"/>
    <x v="2"/>
    <x v="1"/>
    <x v="1"/>
    <x v="52"/>
    <n v="8258"/>
    <n v="0"/>
    <n v="0"/>
  </r>
  <r>
    <s v="P032"/>
    <x v="31"/>
    <x v="1"/>
    <x v="11"/>
    <x v="29"/>
    <x v="79"/>
    <x v="3"/>
    <x v="2"/>
    <x v="2"/>
    <x v="95"/>
    <x v="0"/>
    <x v="7"/>
    <x v="36"/>
    <x v="51"/>
    <n v="3654"/>
    <n v="0"/>
    <n v="0"/>
  </r>
  <r>
    <s v="P033"/>
    <x v="32"/>
    <x v="2"/>
    <x v="5"/>
    <x v="30"/>
    <x v="7"/>
    <x v="0"/>
    <x v="2"/>
    <x v="0"/>
    <x v="96"/>
    <x v="1"/>
    <x v="7"/>
    <x v="1"/>
    <x v="2"/>
    <n v="4561"/>
    <n v="4256"/>
    <n v="0.93312869984652491"/>
  </r>
  <r>
    <s v="P033"/>
    <x v="32"/>
    <x v="2"/>
    <x v="0"/>
    <x v="30"/>
    <x v="80"/>
    <x v="0"/>
    <x v="1"/>
    <x v="1"/>
    <x v="97"/>
    <x v="0"/>
    <x v="3"/>
    <x v="15"/>
    <x v="53"/>
    <n v="9743"/>
    <n v="0"/>
    <n v="0"/>
  </r>
  <r>
    <s v="P033"/>
    <x v="32"/>
    <x v="2"/>
    <x v="1"/>
    <x v="30"/>
    <x v="41"/>
    <x v="0"/>
    <x v="1"/>
    <x v="2"/>
    <x v="98"/>
    <x v="1"/>
    <x v="7"/>
    <x v="1"/>
    <x v="2"/>
    <n v="7316"/>
    <n v="7140"/>
    <n v="0.97594313832695467"/>
  </r>
  <r>
    <s v="P034"/>
    <x v="33"/>
    <x v="3"/>
    <x v="9"/>
    <x v="31"/>
    <x v="60"/>
    <x v="0"/>
    <x v="1"/>
    <x v="0"/>
    <x v="99"/>
    <x v="2"/>
    <x v="3"/>
    <x v="37"/>
    <x v="54"/>
    <n v="2342"/>
    <n v="0"/>
    <n v="0"/>
  </r>
  <r>
    <s v="P034"/>
    <x v="33"/>
    <x v="3"/>
    <x v="2"/>
    <x v="31"/>
    <x v="81"/>
    <x v="0"/>
    <x v="1"/>
    <x v="1"/>
    <x v="100"/>
    <x v="1"/>
    <x v="5"/>
    <x v="28"/>
    <x v="2"/>
    <n v="5899"/>
    <n v="5436"/>
    <n v="0.92151212069842348"/>
  </r>
  <r>
    <s v="P034"/>
    <x v="33"/>
    <x v="3"/>
    <x v="3"/>
    <x v="31"/>
    <x v="82"/>
    <x v="0"/>
    <x v="1"/>
    <x v="2"/>
    <x v="101"/>
    <x v="0"/>
    <x v="1"/>
    <x v="13"/>
    <x v="41"/>
    <n v="8314"/>
    <n v="0"/>
    <n v="0"/>
  </r>
  <r>
    <s v="P035"/>
    <x v="34"/>
    <x v="4"/>
    <x v="1"/>
    <x v="32"/>
    <x v="83"/>
    <x v="3"/>
    <x v="0"/>
    <x v="0"/>
    <x v="102"/>
    <x v="1"/>
    <x v="6"/>
    <x v="37"/>
    <x v="2"/>
    <n v="7361"/>
    <n v="7026"/>
    <n v="0.95448987909251459"/>
  </r>
  <r>
    <s v="P035"/>
    <x v="34"/>
    <x v="4"/>
    <x v="6"/>
    <x v="32"/>
    <x v="83"/>
    <x v="3"/>
    <x v="2"/>
    <x v="1"/>
    <x v="103"/>
    <x v="1"/>
    <x v="3"/>
    <x v="21"/>
    <x v="2"/>
    <n v="6901"/>
    <n v="6528"/>
    <n v="0.94594986233879153"/>
  </r>
  <r>
    <s v="P035"/>
    <x v="34"/>
    <x v="4"/>
    <x v="1"/>
    <x v="32"/>
    <x v="84"/>
    <x v="3"/>
    <x v="1"/>
    <x v="2"/>
    <x v="104"/>
    <x v="2"/>
    <x v="7"/>
    <x v="12"/>
    <x v="5"/>
    <n v="5183"/>
    <n v="0"/>
    <n v="0"/>
  </r>
  <r>
    <s v="P036"/>
    <x v="35"/>
    <x v="0"/>
    <x v="7"/>
    <x v="33"/>
    <x v="85"/>
    <x v="0"/>
    <x v="1"/>
    <x v="0"/>
    <x v="105"/>
    <x v="0"/>
    <x v="2"/>
    <x v="27"/>
    <x v="51"/>
    <n v="1220"/>
    <n v="0"/>
    <n v="0"/>
  </r>
  <r>
    <s v="P036"/>
    <x v="35"/>
    <x v="0"/>
    <x v="12"/>
    <x v="33"/>
    <x v="73"/>
    <x v="0"/>
    <x v="0"/>
    <x v="1"/>
    <x v="106"/>
    <x v="2"/>
    <x v="4"/>
    <x v="20"/>
    <x v="23"/>
    <n v="6005"/>
    <n v="0"/>
    <n v="0"/>
  </r>
  <r>
    <s v="P036"/>
    <x v="35"/>
    <x v="0"/>
    <x v="5"/>
    <x v="33"/>
    <x v="86"/>
    <x v="0"/>
    <x v="1"/>
    <x v="2"/>
    <x v="107"/>
    <x v="1"/>
    <x v="5"/>
    <x v="13"/>
    <x v="2"/>
    <n v="3891"/>
    <n v="3841"/>
    <n v="0.98714983294782832"/>
  </r>
  <r>
    <s v="P037"/>
    <x v="36"/>
    <x v="5"/>
    <x v="6"/>
    <x v="34"/>
    <x v="83"/>
    <x v="0"/>
    <x v="0"/>
    <x v="0"/>
    <x v="108"/>
    <x v="0"/>
    <x v="5"/>
    <x v="0"/>
    <x v="55"/>
    <n v="9160"/>
    <n v="0"/>
    <n v="0"/>
  </r>
  <r>
    <s v="P037"/>
    <x v="36"/>
    <x v="5"/>
    <x v="3"/>
    <x v="34"/>
    <x v="87"/>
    <x v="0"/>
    <x v="1"/>
    <x v="1"/>
    <x v="109"/>
    <x v="1"/>
    <x v="3"/>
    <x v="22"/>
    <x v="2"/>
    <n v="1719"/>
    <n v="1494"/>
    <n v="0.86910994764397909"/>
  </r>
  <r>
    <s v="P037"/>
    <x v="36"/>
    <x v="5"/>
    <x v="10"/>
    <x v="34"/>
    <x v="88"/>
    <x v="0"/>
    <x v="1"/>
    <x v="2"/>
    <x v="110"/>
    <x v="2"/>
    <x v="5"/>
    <x v="19"/>
    <x v="3"/>
    <n v="5180"/>
    <n v="0"/>
    <n v="0"/>
  </r>
  <r>
    <s v="P038"/>
    <x v="37"/>
    <x v="2"/>
    <x v="0"/>
    <x v="35"/>
    <x v="44"/>
    <x v="0"/>
    <x v="0"/>
    <x v="0"/>
    <x v="111"/>
    <x v="2"/>
    <x v="2"/>
    <x v="37"/>
    <x v="56"/>
    <n v="8804"/>
    <n v="0"/>
    <n v="0"/>
  </r>
  <r>
    <s v="P038"/>
    <x v="37"/>
    <x v="2"/>
    <x v="7"/>
    <x v="35"/>
    <x v="89"/>
    <x v="0"/>
    <x v="2"/>
    <x v="1"/>
    <x v="112"/>
    <x v="1"/>
    <x v="1"/>
    <x v="24"/>
    <x v="2"/>
    <n v="8552"/>
    <n v="8463"/>
    <n v="0.98959307764265669"/>
  </r>
  <r>
    <s v="P038"/>
    <x v="37"/>
    <x v="2"/>
    <x v="7"/>
    <x v="35"/>
    <x v="90"/>
    <x v="0"/>
    <x v="1"/>
    <x v="2"/>
    <x v="113"/>
    <x v="0"/>
    <x v="1"/>
    <x v="13"/>
    <x v="57"/>
    <n v="6348"/>
    <n v="0"/>
    <n v="0"/>
  </r>
  <r>
    <s v="P039"/>
    <x v="38"/>
    <x v="5"/>
    <x v="6"/>
    <x v="36"/>
    <x v="91"/>
    <x v="2"/>
    <x v="1"/>
    <x v="0"/>
    <x v="114"/>
    <x v="1"/>
    <x v="1"/>
    <x v="38"/>
    <x v="2"/>
    <n v="5312"/>
    <n v="4818"/>
    <n v="0.90700301204819278"/>
  </r>
  <r>
    <s v="P039"/>
    <x v="38"/>
    <x v="5"/>
    <x v="6"/>
    <x v="36"/>
    <x v="92"/>
    <x v="2"/>
    <x v="1"/>
    <x v="1"/>
    <x v="115"/>
    <x v="2"/>
    <x v="5"/>
    <x v="19"/>
    <x v="0"/>
    <n v="9232"/>
    <n v="0"/>
    <n v="0"/>
  </r>
  <r>
    <s v="P039"/>
    <x v="38"/>
    <x v="5"/>
    <x v="7"/>
    <x v="36"/>
    <x v="93"/>
    <x v="2"/>
    <x v="0"/>
    <x v="2"/>
    <x v="116"/>
    <x v="1"/>
    <x v="6"/>
    <x v="25"/>
    <x v="2"/>
    <n v="3291"/>
    <n v="2824"/>
    <n v="0.85809784260103317"/>
  </r>
  <r>
    <s v="P040"/>
    <x v="39"/>
    <x v="5"/>
    <x v="9"/>
    <x v="37"/>
    <x v="7"/>
    <x v="0"/>
    <x v="0"/>
    <x v="0"/>
    <x v="117"/>
    <x v="2"/>
    <x v="7"/>
    <x v="17"/>
    <x v="0"/>
    <n v="4414"/>
    <n v="0"/>
    <n v="0"/>
  </r>
  <r>
    <s v="P040"/>
    <x v="39"/>
    <x v="5"/>
    <x v="6"/>
    <x v="37"/>
    <x v="73"/>
    <x v="0"/>
    <x v="0"/>
    <x v="1"/>
    <x v="118"/>
    <x v="0"/>
    <x v="7"/>
    <x v="17"/>
    <x v="5"/>
    <n v="9998"/>
    <n v="0"/>
    <n v="0"/>
  </r>
  <r>
    <s v="P040"/>
    <x v="39"/>
    <x v="5"/>
    <x v="7"/>
    <x v="37"/>
    <x v="94"/>
    <x v="0"/>
    <x v="1"/>
    <x v="2"/>
    <x v="119"/>
    <x v="2"/>
    <x v="1"/>
    <x v="17"/>
    <x v="34"/>
    <n v="4869"/>
    <n v="0"/>
    <n v="0"/>
  </r>
  <r>
    <s v="P041"/>
    <x v="40"/>
    <x v="0"/>
    <x v="3"/>
    <x v="14"/>
    <x v="95"/>
    <x v="2"/>
    <x v="1"/>
    <x v="0"/>
    <x v="120"/>
    <x v="1"/>
    <x v="6"/>
    <x v="13"/>
    <x v="2"/>
    <n v="3746"/>
    <n v="3514"/>
    <n v="0.93806727175654026"/>
  </r>
  <r>
    <s v="P041"/>
    <x v="40"/>
    <x v="0"/>
    <x v="9"/>
    <x v="14"/>
    <x v="95"/>
    <x v="2"/>
    <x v="0"/>
    <x v="1"/>
    <x v="121"/>
    <x v="2"/>
    <x v="6"/>
    <x v="35"/>
    <x v="56"/>
    <n v="5413"/>
    <n v="0"/>
    <n v="0"/>
  </r>
  <r>
    <s v="P041"/>
    <x v="40"/>
    <x v="0"/>
    <x v="12"/>
    <x v="14"/>
    <x v="95"/>
    <x v="2"/>
    <x v="0"/>
    <x v="2"/>
    <x v="122"/>
    <x v="0"/>
    <x v="2"/>
    <x v="5"/>
    <x v="58"/>
    <n v="6416"/>
    <n v="0"/>
    <n v="0"/>
  </r>
  <r>
    <s v="P042"/>
    <x v="41"/>
    <x v="2"/>
    <x v="8"/>
    <x v="38"/>
    <x v="96"/>
    <x v="0"/>
    <x v="1"/>
    <x v="0"/>
    <x v="123"/>
    <x v="0"/>
    <x v="4"/>
    <x v="13"/>
    <x v="43"/>
    <n v="5512"/>
    <n v="0"/>
    <n v="0"/>
  </r>
  <r>
    <s v="P042"/>
    <x v="41"/>
    <x v="2"/>
    <x v="5"/>
    <x v="38"/>
    <x v="97"/>
    <x v="0"/>
    <x v="1"/>
    <x v="1"/>
    <x v="124"/>
    <x v="2"/>
    <x v="0"/>
    <x v="6"/>
    <x v="17"/>
    <n v="6632"/>
    <n v="0"/>
    <n v="0"/>
  </r>
  <r>
    <s v="P042"/>
    <x v="41"/>
    <x v="2"/>
    <x v="1"/>
    <x v="38"/>
    <x v="12"/>
    <x v="0"/>
    <x v="0"/>
    <x v="2"/>
    <x v="125"/>
    <x v="2"/>
    <x v="2"/>
    <x v="39"/>
    <x v="33"/>
    <n v="3321"/>
    <n v="0"/>
    <n v="0"/>
  </r>
  <r>
    <s v="P043"/>
    <x v="42"/>
    <x v="5"/>
    <x v="5"/>
    <x v="39"/>
    <x v="98"/>
    <x v="1"/>
    <x v="1"/>
    <x v="0"/>
    <x v="126"/>
    <x v="0"/>
    <x v="2"/>
    <x v="18"/>
    <x v="27"/>
    <n v="9960"/>
    <n v="0"/>
    <n v="0"/>
  </r>
  <r>
    <s v="P043"/>
    <x v="42"/>
    <x v="5"/>
    <x v="6"/>
    <x v="39"/>
    <x v="99"/>
    <x v="1"/>
    <x v="1"/>
    <x v="1"/>
    <x v="127"/>
    <x v="1"/>
    <x v="0"/>
    <x v="25"/>
    <x v="2"/>
    <n v="7019"/>
    <n v="6569"/>
    <n v="0.93588830317709071"/>
  </r>
  <r>
    <s v="P043"/>
    <x v="42"/>
    <x v="5"/>
    <x v="8"/>
    <x v="39"/>
    <x v="100"/>
    <x v="1"/>
    <x v="1"/>
    <x v="2"/>
    <x v="128"/>
    <x v="1"/>
    <x v="7"/>
    <x v="33"/>
    <x v="2"/>
    <n v="2549"/>
    <n v="2168"/>
    <n v="0.85052961945861127"/>
  </r>
  <r>
    <s v="P044"/>
    <x v="43"/>
    <x v="0"/>
    <x v="12"/>
    <x v="40"/>
    <x v="97"/>
    <x v="0"/>
    <x v="1"/>
    <x v="0"/>
    <x v="129"/>
    <x v="2"/>
    <x v="3"/>
    <x v="30"/>
    <x v="34"/>
    <n v="4587"/>
    <n v="0"/>
    <n v="0"/>
  </r>
  <r>
    <s v="P044"/>
    <x v="43"/>
    <x v="0"/>
    <x v="1"/>
    <x v="40"/>
    <x v="101"/>
    <x v="0"/>
    <x v="2"/>
    <x v="1"/>
    <x v="130"/>
    <x v="1"/>
    <x v="1"/>
    <x v="27"/>
    <x v="2"/>
    <n v="4629"/>
    <n v="4482"/>
    <n v="0.96824368114063508"/>
  </r>
  <r>
    <s v="P044"/>
    <x v="43"/>
    <x v="0"/>
    <x v="11"/>
    <x v="40"/>
    <x v="102"/>
    <x v="0"/>
    <x v="1"/>
    <x v="2"/>
    <x v="131"/>
    <x v="0"/>
    <x v="1"/>
    <x v="35"/>
    <x v="59"/>
    <n v="4113"/>
    <n v="0"/>
    <n v="0"/>
  </r>
  <r>
    <s v="P045"/>
    <x v="44"/>
    <x v="5"/>
    <x v="2"/>
    <x v="41"/>
    <x v="103"/>
    <x v="2"/>
    <x v="0"/>
    <x v="0"/>
    <x v="132"/>
    <x v="1"/>
    <x v="5"/>
    <x v="14"/>
    <x v="2"/>
    <n v="3423"/>
    <n v="3361"/>
    <n v="0.98188723342097572"/>
  </r>
  <r>
    <s v="P045"/>
    <x v="44"/>
    <x v="5"/>
    <x v="0"/>
    <x v="41"/>
    <x v="104"/>
    <x v="2"/>
    <x v="1"/>
    <x v="1"/>
    <x v="133"/>
    <x v="0"/>
    <x v="1"/>
    <x v="38"/>
    <x v="28"/>
    <n v="2297"/>
    <n v="0"/>
    <n v="0"/>
  </r>
  <r>
    <s v="P045"/>
    <x v="44"/>
    <x v="5"/>
    <x v="6"/>
    <x v="41"/>
    <x v="103"/>
    <x v="2"/>
    <x v="2"/>
    <x v="2"/>
    <x v="134"/>
    <x v="1"/>
    <x v="0"/>
    <x v="38"/>
    <x v="2"/>
    <n v="2868"/>
    <n v="2425"/>
    <n v="0.84553695955369601"/>
  </r>
  <r>
    <s v="P046"/>
    <x v="45"/>
    <x v="0"/>
    <x v="5"/>
    <x v="31"/>
    <x v="105"/>
    <x v="2"/>
    <x v="1"/>
    <x v="0"/>
    <x v="135"/>
    <x v="0"/>
    <x v="0"/>
    <x v="38"/>
    <x v="60"/>
    <n v="1771"/>
    <n v="0"/>
    <n v="0"/>
  </r>
  <r>
    <s v="P046"/>
    <x v="45"/>
    <x v="0"/>
    <x v="8"/>
    <x v="31"/>
    <x v="105"/>
    <x v="2"/>
    <x v="0"/>
    <x v="1"/>
    <x v="136"/>
    <x v="2"/>
    <x v="6"/>
    <x v="14"/>
    <x v="40"/>
    <n v="1781"/>
    <n v="0"/>
    <n v="0"/>
  </r>
  <r>
    <s v="P046"/>
    <x v="45"/>
    <x v="0"/>
    <x v="9"/>
    <x v="31"/>
    <x v="106"/>
    <x v="2"/>
    <x v="1"/>
    <x v="2"/>
    <x v="137"/>
    <x v="0"/>
    <x v="6"/>
    <x v="21"/>
    <x v="61"/>
    <n v="7012"/>
    <n v="0"/>
    <n v="0"/>
  </r>
  <r>
    <s v="P047"/>
    <x v="46"/>
    <x v="1"/>
    <x v="9"/>
    <x v="42"/>
    <x v="97"/>
    <x v="3"/>
    <x v="1"/>
    <x v="0"/>
    <x v="138"/>
    <x v="1"/>
    <x v="6"/>
    <x v="32"/>
    <x v="2"/>
    <n v="2554"/>
    <n v="2262"/>
    <n v="0.88566953797963976"/>
  </r>
  <r>
    <s v="P047"/>
    <x v="46"/>
    <x v="1"/>
    <x v="10"/>
    <x v="42"/>
    <x v="107"/>
    <x v="3"/>
    <x v="1"/>
    <x v="1"/>
    <x v="139"/>
    <x v="0"/>
    <x v="1"/>
    <x v="3"/>
    <x v="41"/>
    <n v="8357"/>
    <n v="0"/>
    <n v="0"/>
  </r>
  <r>
    <s v="P047"/>
    <x v="46"/>
    <x v="1"/>
    <x v="3"/>
    <x v="42"/>
    <x v="7"/>
    <x v="3"/>
    <x v="1"/>
    <x v="2"/>
    <x v="140"/>
    <x v="1"/>
    <x v="7"/>
    <x v="9"/>
    <x v="2"/>
    <n v="9034"/>
    <n v="8655"/>
    <n v="0.95804737657737438"/>
  </r>
  <r>
    <s v="P048"/>
    <x v="47"/>
    <x v="2"/>
    <x v="9"/>
    <x v="43"/>
    <x v="50"/>
    <x v="2"/>
    <x v="1"/>
    <x v="0"/>
    <x v="141"/>
    <x v="0"/>
    <x v="7"/>
    <x v="18"/>
    <x v="62"/>
    <n v="5180"/>
    <n v="0"/>
    <n v="0"/>
  </r>
  <r>
    <s v="P048"/>
    <x v="47"/>
    <x v="2"/>
    <x v="6"/>
    <x v="43"/>
    <x v="108"/>
    <x v="2"/>
    <x v="2"/>
    <x v="1"/>
    <x v="142"/>
    <x v="2"/>
    <x v="3"/>
    <x v="37"/>
    <x v="63"/>
    <n v="5368"/>
    <n v="0"/>
    <n v="0"/>
  </r>
  <r>
    <s v="P048"/>
    <x v="47"/>
    <x v="2"/>
    <x v="9"/>
    <x v="43"/>
    <x v="109"/>
    <x v="2"/>
    <x v="0"/>
    <x v="2"/>
    <x v="143"/>
    <x v="0"/>
    <x v="7"/>
    <x v="1"/>
    <x v="19"/>
    <n v="3812"/>
    <n v="0"/>
    <n v="0"/>
  </r>
  <r>
    <s v="P049"/>
    <x v="48"/>
    <x v="3"/>
    <x v="3"/>
    <x v="44"/>
    <x v="110"/>
    <x v="2"/>
    <x v="0"/>
    <x v="0"/>
    <x v="144"/>
    <x v="1"/>
    <x v="3"/>
    <x v="40"/>
    <x v="2"/>
    <n v="2237"/>
    <n v="2196"/>
    <n v="0.98167188198480104"/>
  </r>
  <r>
    <s v="P049"/>
    <x v="48"/>
    <x v="3"/>
    <x v="0"/>
    <x v="44"/>
    <x v="111"/>
    <x v="2"/>
    <x v="2"/>
    <x v="1"/>
    <x v="145"/>
    <x v="2"/>
    <x v="5"/>
    <x v="18"/>
    <x v="24"/>
    <n v="8742"/>
    <n v="0"/>
    <n v="0"/>
  </r>
  <r>
    <s v="P049"/>
    <x v="48"/>
    <x v="3"/>
    <x v="4"/>
    <x v="44"/>
    <x v="112"/>
    <x v="2"/>
    <x v="0"/>
    <x v="2"/>
    <x v="146"/>
    <x v="2"/>
    <x v="1"/>
    <x v="27"/>
    <x v="64"/>
    <n v="2613"/>
    <n v="0"/>
    <n v="0"/>
  </r>
  <r>
    <s v="P050"/>
    <x v="49"/>
    <x v="4"/>
    <x v="10"/>
    <x v="45"/>
    <x v="113"/>
    <x v="1"/>
    <x v="1"/>
    <x v="0"/>
    <x v="147"/>
    <x v="0"/>
    <x v="6"/>
    <x v="24"/>
    <x v="53"/>
    <n v="9467"/>
    <n v="0"/>
    <n v="0"/>
  </r>
  <r>
    <s v="P050"/>
    <x v="49"/>
    <x v="4"/>
    <x v="6"/>
    <x v="45"/>
    <x v="114"/>
    <x v="1"/>
    <x v="1"/>
    <x v="1"/>
    <x v="148"/>
    <x v="1"/>
    <x v="3"/>
    <x v="12"/>
    <x v="2"/>
    <n v="1380"/>
    <n v="1005"/>
    <n v="0.72826086956521741"/>
  </r>
  <r>
    <s v="P050"/>
    <x v="49"/>
    <x v="4"/>
    <x v="3"/>
    <x v="45"/>
    <x v="83"/>
    <x v="1"/>
    <x v="1"/>
    <x v="2"/>
    <x v="149"/>
    <x v="0"/>
    <x v="7"/>
    <x v="9"/>
    <x v="55"/>
    <n v="1169"/>
    <n v="0"/>
    <n v="0"/>
  </r>
  <r>
    <s v="P051"/>
    <x v="50"/>
    <x v="0"/>
    <x v="2"/>
    <x v="46"/>
    <x v="115"/>
    <x v="0"/>
    <x v="2"/>
    <x v="0"/>
    <x v="150"/>
    <x v="2"/>
    <x v="2"/>
    <x v="33"/>
    <x v="65"/>
    <n v="7063"/>
    <n v="0"/>
    <n v="0"/>
  </r>
  <r>
    <s v="P051"/>
    <x v="50"/>
    <x v="0"/>
    <x v="6"/>
    <x v="46"/>
    <x v="7"/>
    <x v="0"/>
    <x v="1"/>
    <x v="1"/>
    <x v="151"/>
    <x v="1"/>
    <x v="4"/>
    <x v="29"/>
    <x v="2"/>
    <n v="3221"/>
    <n v="3074"/>
    <n v="0.95436199937907484"/>
  </r>
  <r>
    <s v="P051"/>
    <x v="50"/>
    <x v="0"/>
    <x v="9"/>
    <x v="46"/>
    <x v="116"/>
    <x v="0"/>
    <x v="1"/>
    <x v="2"/>
    <x v="152"/>
    <x v="0"/>
    <x v="5"/>
    <x v="0"/>
    <x v="66"/>
    <n v="1201"/>
    <n v="0"/>
    <n v="0"/>
  </r>
  <r>
    <s v="P052"/>
    <x v="51"/>
    <x v="5"/>
    <x v="6"/>
    <x v="47"/>
    <x v="117"/>
    <x v="3"/>
    <x v="2"/>
    <x v="0"/>
    <x v="153"/>
    <x v="0"/>
    <x v="5"/>
    <x v="33"/>
    <x v="18"/>
    <n v="8114"/>
    <n v="9104"/>
    <n v="1.1220113384274095"/>
  </r>
  <r>
    <s v="P052"/>
    <x v="51"/>
    <x v="5"/>
    <x v="2"/>
    <x v="47"/>
    <x v="118"/>
    <x v="3"/>
    <x v="2"/>
    <x v="1"/>
    <x v="154"/>
    <x v="2"/>
    <x v="3"/>
    <x v="37"/>
    <x v="47"/>
    <n v="7222"/>
    <n v="0"/>
    <n v="0"/>
  </r>
  <r>
    <s v="P052"/>
    <x v="51"/>
    <x v="5"/>
    <x v="10"/>
    <x v="47"/>
    <x v="119"/>
    <x v="3"/>
    <x v="1"/>
    <x v="2"/>
    <x v="155"/>
    <x v="0"/>
    <x v="5"/>
    <x v="11"/>
    <x v="67"/>
    <n v="2022"/>
    <n v="0"/>
    <n v="0"/>
  </r>
  <r>
    <s v="P053"/>
    <x v="52"/>
    <x v="2"/>
    <x v="0"/>
    <x v="48"/>
    <x v="120"/>
    <x v="1"/>
    <x v="2"/>
    <x v="0"/>
    <x v="156"/>
    <x v="0"/>
    <x v="2"/>
    <x v="34"/>
    <x v="68"/>
    <n v="9700"/>
    <n v="0"/>
    <n v="0"/>
  </r>
  <r>
    <s v="P053"/>
    <x v="52"/>
    <x v="2"/>
    <x v="1"/>
    <x v="48"/>
    <x v="116"/>
    <x v="1"/>
    <x v="1"/>
    <x v="1"/>
    <x v="157"/>
    <x v="2"/>
    <x v="1"/>
    <x v="17"/>
    <x v="16"/>
    <n v="7624"/>
    <n v="0"/>
    <n v="0"/>
  </r>
  <r>
    <s v="P053"/>
    <x v="52"/>
    <x v="2"/>
    <x v="2"/>
    <x v="48"/>
    <x v="121"/>
    <x v="1"/>
    <x v="1"/>
    <x v="2"/>
    <x v="158"/>
    <x v="2"/>
    <x v="1"/>
    <x v="25"/>
    <x v="33"/>
    <n v="9072"/>
    <n v="0"/>
    <n v="0"/>
  </r>
  <r>
    <s v="P054"/>
    <x v="53"/>
    <x v="5"/>
    <x v="1"/>
    <x v="49"/>
    <x v="122"/>
    <x v="0"/>
    <x v="1"/>
    <x v="0"/>
    <x v="159"/>
    <x v="2"/>
    <x v="1"/>
    <x v="14"/>
    <x v="69"/>
    <n v="6793"/>
    <n v="0"/>
    <n v="0"/>
  </r>
  <r>
    <s v="P054"/>
    <x v="53"/>
    <x v="5"/>
    <x v="5"/>
    <x v="49"/>
    <x v="123"/>
    <x v="0"/>
    <x v="1"/>
    <x v="1"/>
    <x v="160"/>
    <x v="2"/>
    <x v="5"/>
    <x v="36"/>
    <x v="4"/>
    <n v="2398"/>
    <n v="0"/>
    <n v="0"/>
  </r>
  <r>
    <s v="P054"/>
    <x v="53"/>
    <x v="5"/>
    <x v="4"/>
    <x v="49"/>
    <x v="124"/>
    <x v="0"/>
    <x v="2"/>
    <x v="2"/>
    <x v="161"/>
    <x v="0"/>
    <x v="6"/>
    <x v="20"/>
    <x v="44"/>
    <n v="9449"/>
    <n v="0"/>
    <n v="0"/>
  </r>
  <r>
    <s v="P055"/>
    <x v="54"/>
    <x v="5"/>
    <x v="6"/>
    <x v="50"/>
    <x v="125"/>
    <x v="3"/>
    <x v="1"/>
    <x v="0"/>
    <x v="162"/>
    <x v="0"/>
    <x v="7"/>
    <x v="16"/>
    <x v="17"/>
    <n v="8386"/>
    <n v="0"/>
    <n v="0"/>
  </r>
  <r>
    <s v="P055"/>
    <x v="54"/>
    <x v="5"/>
    <x v="10"/>
    <x v="50"/>
    <x v="126"/>
    <x v="3"/>
    <x v="1"/>
    <x v="1"/>
    <x v="163"/>
    <x v="2"/>
    <x v="7"/>
    <x v="39"/>
    <x v="70"/>
    <n v="4294"/>
    <n v="0"/>
    <n v="0"/>
  </r>
  <r>
    <s v="P055"/>
    <x v="54"/>
    <x v="5"/>
    <x v="7"/>
    <x v="50"/>
    <x v="127"/>
    <x v="3"/>
    <x v="1"/>
    <x v="2"/>
    <x v="164"/>
    <x v="0"/>
    <x v="2"/>
    <x v="29"/>
    <x v="55"/>
    <n v="8340"/>
    <n v="0"/>
    <n v="0"/>
  </r>
  <r>
    <s v="P056"/>
    <x v="55"/>
    <x v="0"/>
    <x v="3"/>
    <x v="51"/>
    <x v="7"/>
    <x v="2"/>
    <x v="1"/>
    <x v="0"/>
    <x v="165"/>
    <x v="1"/>
    <x v="6"/>
    <x v="14"/>
    <x v="2"/>
    <n v="3548"/>
    <n v="3528"/>
    <n v="0.99436302142051858"/>
  </r>
  <r>
    <s v="P056"/>
    <x v="55"/>
    <x v="0"/>
    <x v="5"/>
    <x v="51"/>
    <x v="109"/>
    <x v="2"/>
    <x v="2"/>
    <x v="1"/>
    <x v="166"/>
    <x v="0"/>
    <x v="6"/>
    <x v="7"/>
    <x v="71"/>
    <n v="9545"/>
    <n v="0"/>
    <n v="0"/>
  </r>
  <r>
    <s v="P056"/>
    <x v="55"/>
    <x v="0"/>
    <x v="9"/>
    <x v="51"/>
    <x v="128"/>
    <x v="2"/>
    <x v="1"/>
    <x v="2"/>
    <x v="167"/>
    <x v="0"/>
    <x v="2"/>
    <x v="12"/>
    <x v="47"/>
    <n v="1449"/>
    <n v="0"/>
    <n v="0"/>
  </r>
  <r>
    <s v="P057"/>
    <x v="56"/>
    <x v="2"/>
    <x v="8"/>
    <x v="46"/>
    <x v="129"/>
    <x v="1"/>
    <x v="0"/>
    <x v="0"/>
    <x v="168"/>
    <x v="0"/>
    <x v="4"/>
    <x v="40"/>
    <x v="49"/>
    <n v="9728"/>
    <n v="0"/>
    <n v="0"/>
  </r>
  <r>
    <s v="P057"/>
    <x v="56"/>
    <x v="2"/>
    <x v="4"/>
    <x v="46"/>
    <x v="130"/>
    <x v="1"/>
    <x v="1"/>
    <x v="1"/>
    <x v="169"/>
    <x v="1"/>
    <x v="0"/>
    <x v="25"/>
    <x v="2"/>
    <n v="6762"/>
    <n v="6621"/>
    <n v="0.979148181011535"/>
  </r>
  <r>
    <s v="P057"/>
    <x v="56"/>
    <x v="2"/>
    <x v="5"/>
    <x v="46"/>
    <x v="36"/>
    <x v="1"/>
    <x v="2"/>
    <x v="2"/>
    <x v="170"/>
    <x v="0"/>
    <x v="2"/>
    <x v="5"/>
    <x v="33"/>
    <n v="4093"/>
    <n v="0"/>
    <n v="0"/>
  </r>
  <r>
    <s v="P058"/>
    <x v="57"/>
    <x v="5"/>
    <x v="1"/>
    <x v="52"/>
    <x v="131"/>
    <x v="3"/>
    <x v="1"/>
    <x v="0"/>
    <x v="171"/>
    <x v="1"/>
    <x v="2"/>
    <x v="40"/>
    <x v="2"/>
    <n v="9027"/>
    <n v="8655"/>
    <n v="0.95879029577932873"/>
  </r>
  <r>
    <s v="P058"/>
    <x v="57"/>
    <x v="5"/>
    <x v="12"/>
    <x v="52"/>
    <x v="132"/>
    <x v="3"/>
    <x v="2"/>
    <x v="1"/>
    <x v="172"/>
    <x v="2"/>
    <x v="0"/>
    <x v="15"/>
    <x v="6"/>
    <n v="4949"/>
    <n v="0"/>
    <n v="0"/>
  </r>
  <r>
    <s v="P058"/>
    <x v="57"/>
    <x v="5"/>
    <x v="12"/>
    <x v="52"/>
    <x v="133"/>
    <x v="3"/>
    <x v="2"/>
    <x v="2"/>
    <x v="173"/>
    <x v="2"/>
    <x v="7"/>
    <x v="34"/>
    <x v="56"/>
    <n v="1671"/>
    <n v="0"/>
    <n v="0"/>
  </r>
  <r>
    <s v="P059"/>
    <x v="58"/>
    <x v="0"/>
    <x v="8"/>
    <x v="53"/>
    <x v="134"/>
    <x v="3"/>
    <x v="1"/>
    <x v="0"/>
    <x v="174"/>
    <x v="2"/>
    <x v="3"/>
    <x v="19"/>
    <x v="54"/>
    <n v="1634"/>
    <n v="0"/>
    <n v="0"/>
  </r>
  <r>
    <s v="P059"/>
    <x v="58"/>
    <x v="0"/>
    <x v="3"/>
    <x v="53"/>
    <x v="135"/>
    <x v="3"/>
    <x v="1"/>
    <x v="1"/>
    <x v="175"/>
    <x v="1"/>
    <x v="2"/>
    <x v="30"/>
    <x v="2"/>
    <n v="9178"/>
    <n v="8962"/>
    <n v="0.9764654608847243"/>
  </r>
  <r>
    <s v="P059"/>
    <x v="58"/>
    <x v="0"/>
    <x v="2"/>
    <x v="53"/>
    <x v="136"/>
    <x v="3"/>
    <x v="1"/>
    <x v="2"/>
    <x v="176"/>
    <x v="1"/>
    <x v="1"/>
    <x v="36"/>
    <x v="2"/>
    <n v="5369"/>
    <n v="4897"/>
    <n v="0.91208791208791207"/>
  </r>
  <r>
    <s v="P060"/>
    <x v="59"/>
    <x v="5"/>
    <x v="12"/>
    <x v="54"/>
    <x v="137"/>
    <x v="3"/>
    <x v="0"/>
    <x v="0"/>
    <x v="177"/>
    <x v="2"/>
    <x v="5"/>
    <x v="27"/>
    <x v="24"/>
    <n v="4383"/>
    <n v="0"/>
    <n v="0"/>
  </r>
  <r>
    <s v="P060"/>
    <x v="59"/>
    <x v="5"/>
    <x v="0"/>
    <x v="54"/>
    <x v="7"/>
    <x v="3"/>
    <x v="1"/>
    <x v="1"/>
    <x v="178"/>
    <x v="1"/>
    <x v="2"/>
    <x v="2"/>
    <x v="2"/>
    <n v="9106"/>
    <n v="8788"/>
    <n v="0.96507797056885569"/>
  </r>
  <r>
    <s v="P060"/>
    <x v="59"/>
    <x v="5"/>
    <x v="11"/>
    <x v="54"/>
    <x v="138"/>
    <x v="3"/>
    <x v="1"/>
    <x v="2"/>
    <x v="179"/>
    <x v="0"/>
    <x v="0"/>
    <x v="30"/>
    <x v="72"/>
    <n v="7376"/>
    <n v="0"/>
    <n v="0"/>
  </r>
  <r>
    <s v="P061"/>
    <x v="60"/>
    <x v="0"/>
    <x v="12"/>
    <x v="55"/>
    <x v="139"/>
    <x v="3"/>
    <x v="2"/>
    <x v="0"/>
    <x v="180"/>
    <x v="2"/>
    <x v="0"/>
    <x v="26"/>
    <x v="38"/>
    <n v="4564"/>
    <n v="0"/>
    <n v="0"/>
  </r>
  <r>
    <s v="P061"/>
    <x v="60"/>
    <x v="0"/>
    <x v="1"/>
    <x v="55"/>
    <x v="140"/>
    <x v="3"/>
    <x v="0"/>
    <x v="1"/>
    <x v="181"/>
    <x v="0"/>
    <x v="6"/>
    <x v="30"/>
    <x v="73"/>
    <n v="6685"/>
    <n v="0"/>
    <n v="0"/>
  </r>
  <r>
    <s v="P061"/>
    <x v="60"/>
    <x v="0"/>
    <x v="1"/>
    <x v="55"/>
    <x v="141"/>
    <x v="3"/>
    <x v="0"/>
    <x v="2"/>
    <x v="182"/>
    <x v="0"/>
    <x v="6"/>
    <x v="32"/>
    <x v="74"/>
    <n v="3548"/>
    <n v="0"/>
    <n v="0"/>
  </r>
  <r>
    <s v="P062"/>
    <x v="61"/>
    <x v="1"/>
    <x v="11"/>
    <x v="56"/>
    <x v="79"/>
    <x v="3"/>
    <x v="1"/>
    <x v="0"/>
    <x v="183"/>
    <x v="2"/>
    <x v="6"/>
    <x v="21"/>
    <x v="39"/>
    <n v="5997"/>
    <n v="0"/>
    <n v="0"/>
  </r>
  <r>
    <s v="P062"/>
    <x v="61"/>
    <x v="1"/>
    <x v="4"/>
    <x v="56"/>
    <x v="7"/>
    <x v="3"/>
    <x v="1"/>
    <x v="1"/>
    <x v="184"/>
    <x v="1"/>
    <x v="1"/>
    <x v="20"/>
    <x v="2"/>
    <n v="3180"/>
    <n v="3081"/>
    <n v="0.96886792452830184"/>
  </r>
  <r>
    <s v="P062"/>
    <x v="61"/>
    <x v="1"/>
    <x v="4"/>
    <x v="56"/>
    <x v="142"/>
    <x v="3"/>
    <x v="1"/>
    <x v="2"/>
    <x v="185"/>
    <x v="2"/>
    <x v="7"/>
    <x v="24"/>
    <x v="49"/>
    <n v="2178"/>
    <n v="0"/>
    <n v="0"/>
  </r>
  <r>
    <s v="P063"/>
    <x v="62"/>
    <x v="2"/>
    <x v="3"/>
    <x v="27"/>
    <x v="143"/>
    <x v="1"/>
    <x v="1"/>
    <x v="0"/>
    <x v="186"/>
    <x v="0"/>
    <x v="7"/>
    <x v="2"/>
    <x v="28"/>
    <n v="2944"/>
    <n v="0"/>
    <n v="0"/>
  </r>
  <r>
    <s v="P063"/>
    <x v="62"/>
    <x v="2"/>
    <x v="5"/>
    <x v="27"/>
    <x v="144"/>
    <x v="1"/>
    <x v="1"/>
    <x v="1"/>
    <x v="187"/>
    <x v="1"/>
    <x v="3"/>
    <x v="26"/>
    <x v="2"/>
    <n v="7376"/>
    <n v="6945"/>
    <n v="0.9415672451193059"/>
  </r>
  <r>
    <s v="P063"/>
    <x v="62"/>
    <x v="2"/>
    <x v="9"/>
    <x v="27"/>
    <x v="145"/>
    <x v="1"/>
    <x v="2"/>
    <x v="2"/>
    <x v="188"/>
    <x v="0"/>
    <x v="7"/>
    <x v="19"/>
    <x v="41"/>
    <n v="6433"/>
    <n v="0"/>
    <n v="0"/>
  </r>
  <r>
    <s v="P064"/>
    <x v="63"/>
    <x v="3"/>
    <x v="0"/>
    <x v="57"/>
    <x v="7"/>
    <x v="0"/>
    <x v="2"/>
    <x v="0"/>
    <x v="189"/>
    <x v="1"/>
    <x v="3"/>
    <x v="35"/>
    <x v="2"/>
    <n v="5551"/>
    <n v="5315"/>
    <n v="0.9574851378130067"/>
  </r>
  <r>
    <s v="P064"/>
    <x v="63"/>
    <x v="3"/>
    <x v="10"/>
    <x v="57"/>
    <x v="114"/>
    <x v="0"/>
    <x v="0"/>
    <x v="1"/>
    <x v="190"/>
    <x v="1"/>
    <x v="5"/>
    <x v="25"/>
    <x v="2"/>
    <n v="9127"/>
    <n v="8751"/>
    <n v="0.95880354990686978"/>
  </r>
  <r>
    <s v="P064"/>
    <x v="63"/>
    <x v="3"/>
    <x v="6"/>
    <x v="57"/>
    <x v="7"/>
    <x v="0"/>
    <x v="1"/>
    <x v="2"/>
    <x v="191"/>
    <x v="1"/>
    <x v="1"/>
    <x v="12"/>
    <x v="2"/>
    <n v="9168"/>
    <n v="9025"/>
    <n v="0.98440226876090753"/>
  </r>
  <r>
    <s v="P065"/>
    <x v="64"/>
    <x v="4"/>
    <x v="4"/>
    <x v="58"/>
    <x v="146"/>
    <x v="1"/>
    <x v="1"/>
    <x v="0"/>
    <x v="192"/>
    <x v="1"/>
    <x v="6"/>
    <x v="9"/>
    <x v="2"/>
    <n v="2284"/>
    <n v="2142"/>
    <n v="0.93782837127845886"/>
  </r>
  <r>
    <s v="P065"/>
    <x v="64"/>
    <x v="4"/>
    <x v="9"/>
    <x v="58"/>
    <x v="40"/>
    <x v="1"/>
    <x v="0"/>
    <x v="1"/>
    <x v="193"/>
    <x v="0"/>
    <x v="3"/>
    <x v="4"/>
    <x v="66"/>
    <n v="4973"/>
    <n v="0"/>
    <n v="0"/>
  </r>
  <r>
    <s v="P065"/>
    <x v="64"/>
    <x v="4"/>
    <x v="8"/>
    <x v="58"/>
    <x v="147"/>
    <x v="1"/>
    <x v="1"/>
    <x v="2"/>
    <x v="194"/>
    <x v="2"/>
    <x v="2"/>
    <x v="4"/>
    <x v="22"/>
    <n v="7992"/>
    <n v="0"/>
    <n v="0"/>
  </r>
  <r>
    <s v="P066"/>
    <x v="65"/>
    <x v="0"/>
    <x v="12"/>
    <x v="59"/>
    <x v="148"/>
    <x v="2"/>
    <x v="1"/>
    <x v="0"/>
    <x v="195"/>
    <x v="0"/>
    <x v="2"/>
    <x v="13"/>
    <x v="75"/>
    <n v="3669"/>
    <n v="0"/>
    <n v="0"/>
  </r>
  <r>
    <s v="P066"/>
    <x v="65"/>
    <x v="0"/>
    <x v="12"/>
    <x v="59"/>
    <x v="149"/>
    <x v="2"/>
    <x v="1"/>
    <x v="1"/>
    <x v="196"/>
    <x v="2"/>
    <x v="4"/>
    <x v="40"/>
    <x v="28"/>
    <n v="6395"/>
    <n v="0"/>
    <n v="0"/>
  </r>
  <r>
    <s v="P066"/>
    <x v="65"/>
    <x v="0"/>
    <x v="8"/>
    <x v="59"/>
    <x v="18"/>
    <x v="2"/>
    <x v="0"/>
    <x v="2"/>
    <x v="197"/>
    <x v="2"/>
    <x v="5"/>
    <x v="23"/>
    <x v="36"/>
    <n v="4445"/>
    <n v="0"/>
    <n v="0"/>
  </r>
  <r>
    <s v="P067"/>
    <x v="66"/>
    <x v="5"/>
    <x v="11"/>
    <x v="60"/>
    <x v="150"/>
    <x v="2"/>
    <x v="2"/>
    <x v="0"/>
    <x v="198"/>
    <x v="0"/>
    <x v="5"/>
    <x v="15"/>
    <x v="9"/>
    <n v="1599"/>
    <n v="0"/>
    <n v="0"/>
  </r>
  <r>
    <s v="P067"/>
    <x v="66"/>
    <x v="5"/>
    <x v="0"/>
    <x v="60"/>
    <x v="122"/>
    <x v="2"/>
    <x v="0"/>
    <x v="1"/>
    <x v="199"/>
    <x v="0"/>
    <x v="3"/>
    <x v="1"/>
    <x v="53"/>
    <n v="9597"/>
    <n v="0"/>
    <n v="0"/>
  </r>
  <r>
    <s v="P067"/>
    <x v="66"/>
    <x v="5"/>
    <x v="4"/>
    <x v="60"/>
    <x v="151"/>
    <x v="2"/>
    <x v="1"/>
    <x v="2"/>
    <x v="200"/>
    <x v="1"/>
    <x v="5"/>
    <x v="27"/>
    <x v="2"/>
    <n v="2143"/>
    <n v="1984"/>
    <n v="0.92580494633691091"/>
  </r>
  <r>
    <s v="P068"/>
    <x v="67"/>
    <x v="2"/>
    <x v="4"/>
    <x v="60"/>
    <x v="68"/>
    <x v="0"/>
    <x v="2"/>
    <x v="0"/>
    <x v="201"/>
    <x v="2"/>
    <x v="2"/>
    <x v="5"/>
    <x v="68"/>
    <n v="6658"/>
    <n v="0"/>
    <n v="0"/>
  </r>
  <r>
    <s v="P068"/>
    <x v="67"/>
    <x v="2"/>
    <x v="10"/>
    <x v="60"/>
    <x v="152"/>
    <x v="0"/>
    <x v="2"/>
    <x v="1"/>
    <x v="202"/>
    <x v="2"/>
    <x v="1"/>
    <x v="13"/>
    <x v="56"/>
    <n v="8758"/>
    <n v="0"/>
    <n v="0"/>
  </r>
  <r>
    <s v="P068"/>
    <x v="67"/>
    <x v="2"/>
    <x v="5"/>
    <x v="60"/>
    <x v="151"/>
    <x v="0"/>
    <x v="1"/>
    <x v="2"/>
    <x v="203"/>
    <x v="1"/>
    <x v="1"/>
    <x v="27"/>
    <x v="2"/>
    <n v="9806"/>
    <n v="9477"/>
    <n v="0.96644911278808887"/>
  </r>
  <r>
    <s v="P069"/>
    <x v="68"/>
    <x v="5"/>
    <x v="11"/>
    <x v="61"/>
    <x v="153"/>
    <x v="1"/>
    <x v="1"/>
    <x v="0"/>
    <x v="204"/>
    <x v="2"/>
    <x v="1"/>
    <x v="20"/>
    <x v="27"/>
    <n v="3424"/>
    <n v="0"/>
    <n v="0"/>
  </r>
  <r>
    <s v="P069"/>
    <x v="68"/>
    <x v="5"/>
    <x v="8"/>
    <x v="61"/>
    <x v="154"/>
    <x v="1"/>
    <x v="1"/>
    <x v="1"/>
    <x v="205"/>
    <x v="0"/>
    <x v="5"/>
    <x v="32"/>
    <x v="76"/>
    <n v="8166"/>
    <n v="0"/>
    <n v="0"/>
  </r>
  <r>
    <s v="P069"/>
    <x v="68"/>
    <x v="5"/>
    <x v="8"/>
    <x v="61"/>
    <x v="155"/>
    <x v="1"/>
    <x v="2"/>
    <x v="2"/>
    <x v="206"/>
    <x v="2"/>
    <x v="6"/>
    <x v="34"/>
    <x v="46"/>
    <n v="9968"/>
    <n v="0"/>
    <n v="0"/>
  </r>
  <r>
    <s v="P070"/>
    <x v="69"/>
    <x v="5"/>
    <x v="5"/>
    <x v="62"/>
    <x v="156"/>
    <x v="0"/>
    <x v="1"/>
    <x v="0"/>
    <x v="207"/>
    <x v="0"/>
    <x v="2"/>
    <x v="10"/>
    <x v="26"/>
    <n v="9313"/>
    <n v="0"/>
    <n v="0"/>
  </r>
  <r>
    <s v="P070"/>
    <x v="69"/>
    <x v="5"/>
    <x v="7"/>
    <x v="62"/>
    <x v="157"/>
    <x v="0"/>
    <x v="1"/>
    <x v="1"/>
    <x v="208"/>
    <x v="0"/>
    <x v="7"/>
    <x v="17"/>
    <x v="39"/>
    <n v="4494"/>
    <n v="0"/>
    <n v="0"/>
  </r>
  <r>
    <s v="P070"/>
    <x v="69"/>
    <x v="5"/>
    <x v="9"/>
    <x v="62"/>
    <x v="158"/>
    <x v="0"/>
    <x v="1"/>
    <x v="2"/>
    <x v="209"/>
    <x v="1"/>
    <x v="2"/>
    <x v="4"/>
    <x v="2"/>
    <n v="7738"/>
    <n v="7435"/>
    <n v="0.96084259498578439"/>
  </r>
  <r>
    <s v="P071"/>
    <x v="70"/>
    <x v="0"/>
    <x v="6"/>
    <x v="63"/>
    <x v="159"/>
    <x v="1"/>
    <x v="1"/>
    <x v="0"/>
    <x v="210"/>
    <x v="1"/>
    <x v="6"/>
    <x v="13"/>
    <x v="2"/>
    <n v="8568"/>
    <n v="8546"/>
    <n v="0.99743230625583568"/>
  </r>
  <r>
    <s v="P071"/>
    <x v="70"/>
    <x v="0"/>
    <x v="0"/>
    <x v="63"/>
    <x v="160"/>
    <x v="1"/>
    <x v="1"/>
    <x v="1"/>
    <x v="211"/>
    <x v="0"/>
    <x v="6"/>
    <x v="34"/>
    <x v="11"/>
    <n v="1052"/>
    <n v="0"/>
    <n v="0"/>
  </r>
  <r>
    <s v="P071"/>
    <x v="70"/>
    <x v="0"/>
    <x v="3"/>
    <x v="63"/>
    <x v="161"/>
    <x v="1"/>
    <x v="1"/>
    <x v="2"/>
    <x v="212"/>
    <x v="1"/>
    <x v="2"/>
    <x v="15"/>
    <x v="2"/>
    <n v="7325"/>
    <n v="6853"/>
    <n v="0.93556313993174056"/>
  </r>
  <r>
    <s v="P072"/>
    <x v="71"/>
    <x v="2"/>
    <x v="2"/>
    <x v="64"/>
    <x v="162"/>
    <x v="3"/>
    <x v="1"/>
    <x v="0"/>
    <x v="213"/>
    <x v="0"/>
    <x v="4"/>
    <x v="40"/>
    <x v="42"/>
    <n v="7862"/>
    <n v="0"/>
    <n v="0"/>
  </r>
  <r>
    <s v="P072"/>
    <x v="71"/>
    <x v="2"/>
    <x v="12"/>
    <x v="64"/>
    <x v="26"/>
    <x v="3"/>
    <x v="1"/>
    <x v="1"/>
    <x v="214"/>
    <x v="1"/>
    <x v="0"/>
    <x v="39"/>
    <x v="2"/>
    <n v="7708"/>
    <n v="7268"/>
    <n v="0.94291645044110017"/>
  </r>
  <r>
    <s v="P072"/>
    <x v="71"/>
    <x v="2"/>
    <x v="1"/>
    <x v="64"/>
    <x v="163"/>
    <x v="3"/>
    <x v="0"/>
    <x v="2"/>
    <x v="215"/>
    <x v="2"/>
    <x v="2"/>
    <x v="10"/>
    <x v="17"/>
    <n v="3260"/>
    <n v="0"/>
    <n v="0"/>
  </r>
  <r>
    <s v="P073"/>
    <x v="72"/>
    <x v="5"/>
    <x v="0"/>
    <x v="65"/>
    <x v="41"/>
    <x v="0"/>
    <x v="2"/>
    <x v="0"/>
    <x v="216"/>
    <x v="1"/>
    <x v="2"/>
    <x v="39"/>
    <x v="2"/>
    <n v="1702"/>
    <n v="1411"/>
    <n v="0.82902467685076375"/>
  </r>
  <r>
    <s v="P073"/>
    <x v="72"/>
    <x v="5"/>
    <x v="6"/>
    <x v="65"/>
    <x v="6"/>
    <x v="0"/>
    <x v="1"/>
    <x v="1"/>
    <x v="217"/>
    <x v="1"/>
    <x v="0"/>
    <x v="3"/>
    <x v="2"/>
    <n v="8403"/>
    <n v="8115"/>
    <n v="0.96572652624062838"/>
  </r>
  <r>
    <s v="P073"/>
    <x v="72"/>
    <x v="5"/>
    <x v="0"/>
    <x v="65"/>
    <x v="102"/>
    <x v="0"/>
    <x v="1"/>
    <x v="2"/>
    <x v="218"/>
    <x v="1"/>
    <x v="7"/>
    <x v="37"/>
    <x v="2"/>
    <n v="4955"/>
    <n v="4586"/>
    <n v="0.92552976791120078"/>
  </r>
  <r>
    <s v="P074"/>
    <x v="73"/>
    <x v="0"/>
    <x v="4"/>
    <x v="66"/>
    <x v="164"/>
    <x v="0"/>
    <x v="1"/>
    <x v="0"/>
    <x v="219"/>
    <x v="2"/>
    <x v="3"/>
    <x v="8"/>
    <x v="7"/>
    <n v="3533"/>
    <n v="0"/>
    <n v="0"/>
  </r>
  <r>
    <s v="P074"/>
    <x v="73"/>
    <x v="0"/>
    <x v="11"/>
    <x v="66"/>
    <x v="29"/>
    <x v="0"/>
    <x v="1"/>
    <x v="1"/>
    <x v="220"/>
    <x v="2"/>
    <x v="2"/>
    <x v="27"/>
    <x v="61"/>
    <n v="8279"/>
    <n v="0"/>
    <n v="0"/>
  </r>
  <r>
    <s v="P074"/>
    <x v="73"/>
    <x v="0"/>
    <x v="0"/>
    <x v="66"/>
    <x v="62"/>
    <x v="0"/>
    <x v="1"/>
    <x v="2"/>
    <x v="221"/>
    <x v="0"/>
    <x v="1"/>
    <x v="38"/>
    <x v="43"/>
    <n v="3680"/>
    <n v="0"/>
    <n v="0"/>
  </r>
  <r>
    <s v="P075"/>
    <x v="74"/>
    <x v="5"/>
    <x v="0"/>
    <x v="67"/>
    <x v="88"/>
    <x v="0"/>
    <x v="0"/>
    <x v="0"/>
    <x v="222"/>
    <x v="1"/>
    <x v="5"/>
    <x v="21"/>
    <x v="2"/>
    <n v="8493"/>
    <n v="12398"/>
    <n v="1.4597904156364065"/>
  </r>
  <r>
    <s v="P075"/>
    <x v="74"/>
    <x v="5"/>
    <x v="11"/>
    <x v="67"/>
    <x v="165"/>
    <x v="0"/>
    <x v="0"/>
    <x v="1"/>
    <x v="223"/>
    <x v="2"/>
    <x v="2"/>
    <x v="21"/>
    <x v="15"/>
    <n v="3828"/>
    <n v="0"/>
    <n v="0"/>
  </r>
  <r>
    <s v="P075"/>
    <x v="74"/>
    <x v="5"/>
    <x v="6"/>
    <x v="67"/>
    <x v="166"/>
    <x v="0"/>
    <x v="0"/>
    <x v="2"/>
    <x v="224"/>
    <x v="0"/>
    <x v="0"/>
    <x v="10"/>
    <x v="5"/>
    <n v="6118"/>
    <n v="0"/>
    <n v="0"/>
  </r>
  <r>
    <s v="P076"/>
    <x v="75"/>
    <x v="0"/>
    <x v="7"/>
    <x v="68"/>
    <x v="29"/>
    <x v="1"/>
    <x v="1"/>
    <x v="0"/>
    <x v="225"/>
    <x v="2"/>
    <x v="0"/>
    <x v="22"/>
    <x v="53"/>
    <n v="6558"/>
    <n v="0"/>
    <n v="0"/>
  </r>
  <r>
    <s v="P076"/>
    <x v="75"/>
    <x v="0"/>
    <x v="4"/>
    <x v="68"/>
    <x v="110"/>
    <x v="1"/>
    <x v="0"/>
    <x v="1"/>
    <x v="226"/>
    <x v="1"/>
    <x v="6"/>
    <x v="33"/>
    <x v="2"/>
    <n v="1044"/>
    <n v="899"/>
    <n v="0.86111111111111116"/>
  </r>
  <r>
    <s v="P076"/>
    <x v="75"/>
    <x v="0"/>
    <x v="2"/>
    <x v="68"/>
    <x v="29"/>
    <x v="1"/>
    <x v="1"/>
    <x v="2"/>
    <x v="227"/>
    <x v="2"/>
    <x v="6"/>
    <x v="15"/>
    <x v="57"/>
    <n v="7397"/>
    <n v="0"/>
    <n v="0"/>
  </r>
  <r>
    <s v="P077"/>
    <x v="76"/>
    <x v="1"/>
    <x v="5"/>
    <x v="69"/>
    <x v="167"/>
    <x v="3"/>
    <x v="0"/>
    <x v="0"/>
    <x v="228"/>
    <x v="0"/>
    <x v="6"/>
    <x v="19"/>
    <x v="12"/>
    <n v="8832"/>
    <n v="0"/>
    <n v="0"/>
  </r>
  <r>
    <s v="P077"/>
    <x v="76"/>
    <x v="1"/>
    <x v="6"/>
    <x v="69"/>
    <x v="99"/>
    <x v="3"/>
    <x v="1"/>
    <x v="1"/>
    <x v="229"/>
    <x v="1"/>
    <x v="1"/>
    <x v="38"/>
    <x v="2"/>
    <n v="3123"/>
    <n v="2841"/>
    <n v="0.90970220941402502"/>
  </r>
  <r>
    <s v="P077"/>
    <x v="76"/>
    <x v="1"/>
    <x v="9"/>
    <x v="69"/>
    <x v="168"/>
    <x v="3"/>
    <x v="2"/>
    <x v="2"/>
    <x v="230"/>
    <x v="2"/>
    <x v="7"/>
    <x v="23"/>
    <x v="49"/>
    <n v="6854"/>
    <n v="0"/>
    <n v="0"/>
  </r>
  <r>
    <s v="P078"/>
    <x v="77"/>
    <x v="2"/>
    <x v="7"/>
    <x v="37"/>
    <x v="37"/>
    <x v="3"/>
    <x v="1"/>
    <x v="0"/>
    <x v="231"/>
    <x v="1"/>
    <x v="2"/>
    <x v="14"/>
    <x v="2"/>
    <n v="8429"/>
    <n v="8416"/>
    <n v="0.99845770554039626"/>
  </r>
  <r>
    <s v="P078"/>
    <x v="77"/>
    <x v="2"/>
    <x v="1"/>
    <x v="37"/>
    <x v="169"/>
    <x v="3"/>
    <x v="1"/>
    <x v="1"/>
    <x v="232"/>
    <x v="0"/>
    <x v="3"/>
    <x v="1"/>
    <x v="69"/>
    <n v="1501"/>
    <n v="0"/>
    <n v="0"/>
  </r>
  <r>
    <s v="P078"/>
    <x v="77"/>
    <x v="2"/>
    <x v="3"/>
    <x v="37"/>
    <x v="170"/>
    <x v="3"/>
    <x v="0"/>
    <x v="2"/>
    <x v="233"/>
    <x v="1"/>
    <x v="2"/>
    <x v="0"/>
    <x v="2"/>
    <n v="8487"/>
    <n v="8486"/>
    <n v="0.99988217273477087"/>
  </r>
  <r>
    <s v="P079"/>
    <x v="78"/>
    <x v="3"/>
    <x v="5"/>
    <x v="70"/>
    <x v="171"/>
    <x v="2"/>
    <x v="1"/>
    <x v="0"/>
    <x v="234"/>
    <x v="0"/>
    <x v="3"/>
    <x v="8"/>
    <x v="39"/>
    <n v="6425"/>
    <n v="0"/>
    <n v="0"/>
  </r>
  <r>
    <s v="P079"/>
    <x v="78"/>
    <x v="3"/>
    <x v="9"/>
    <x v="70"/>
    <x v="172"/>
    <x v="2"/>
    <x v="1"/>
    <x v="1"/>
    <x v="235"/>
    <x v="0"/>
    <x v="5"/>
    <x v="30"/>
    <x v="43"/>
    <n v="8044"/>
    <n v="0"/>
    <n v="0"/>
  </r>
  <r>
    <s v="P079"/>
    <x v="78"/>
    <x v="3"/>
    <x v="4"/>
    <x v="70"/>
    <x v="87"/>
    <x v="2"/>
    <x v="0"/>
    <x v="2"/>
    <x v="236"/>
    <x v="1"/>
    <x v="1"/>
    <x v="8"/>
    <x v="2"/>
    <n v="9524"/>
    <n v="9474"/>
    <n v="0.99475010499790006"/>
  </r>
  <r>
    <s v="P080"/>
    <x v="79"/>
    <x v="4"/>
    <x v="2"/>
    <x v="71"/>
    <x v="173"/>
    <x v="1"/>
    <x v="1"/>
    <x v="0"/>
    <x v="237"/>
    <x v="2"/>
    <x v="6"/>
    <x v="8"/>
    <x v="21"/>
    <n v="4368"/>
    <n v="0"/>
    <n v="0"/>
  </r>
  <r>
    <s v="P080"/>
    <x v="79"/>
    <x v="4"/>
    <x v="1"/>
    <x v="71"/>
    <x v="100"/>
    <x v="1"/>
    <x v="2"/>
    <x v="1"/>
    <x v="238"/>
    <x v="0"/>
    <x v="3"/>
    <x v="22"/>
    <x v="77"/>
    <n v="2261"/>
    <n v="0"/>
    <n v="0"/>
  </r>
  <r>
    <s v="P080"/>
    <x v="79"/>
    <x v="4"/>
    <x v="0"/>
    <x v="71"/>
    <x v="33"/>
    <x v="1"/>
    <x v="0"/>
    <x v="2"/>
    <x v="239"/>
    <x v="1"/>
    <x v="2"/>
    <x v="29"/>
    <x v="2"/>
    <n v="8706"/>
    <n v="8333"/>
    <n v="0.95715598437858951"/>
  </r>
  <r>
    <s v="P081"/>
    <x v="80"/>
    <x v="0"/>
    <x v="3"/>
    <x v="72"/>
    <x v="174"/>
    <x v="1"/>
    <x v="1"/>
    <x v="0"/>
    <x v="240"/>
    <x v="0"/>
    <x v="2"/>
    <x v="4"/>
    <x v="71"/>
    <n v="1149"/>
    <n v="0"/>
    <n v="0"/>
  </r>
  <r>
    <s v="P081"/>
    <x v="80"/>
    <x v="0"/>
    <x v="6"/>
    <x v="72"/>
    <x v="175"/>
    <x v="1"/>
    <x v="0"/>
    <x v="1"/>
    <x v="241"/>
    <x v="0"/>
    <x v="4"/>
    <x v="2"/>
    <x v="55"/>
    <n v="5011"/>
    <n v="0"/>
    <n v="0"/>
  </r>
  <r>
    <s v="P081"/>
    <x v="80"/>
    <x v="0"/>
    <x v="8"/>
    <x v="72"/>
    <x v="48"/>
    <x v="1"/>
    <x v="1"/>
    <x v="2"/>
    <x v="242"/>
    <x v="1"/>
    <x v="5"/>
    <x v="2"/>
    <x v="2"/>
    <n v="6163"/>
    <n v="5756"/>
    <n v="0.93396073340905406"/>
  </r>
  <r>
    <s v="P082"/>
    <x v="81"/>
    <x v="5"/>
    <x v="2"/>
    <x v="73"/>
    <x v="176"/>
    <x v="1"/>
    <x v="0"/>
    <x v="0"/>
    <x v="243"/>
    <x v="0"/>
    <x v="5"/>
    <x v="1"/>
    <x v="54"/>
    <n v="7524"/>
    <n v="0"/>
    <n v="0"/>
  </r>
  <r>
    <s v="P082"/>
    <x v="81"/>
    <x v="5"/>
    <x v="9"/>
    <x v="73"/>
    <x v="7"/>
    <x v="1"/>
    <x v="0"/>
    <x v="1"/>
    <x v="244"/>
    <x v="1"/>
    <x v="3"/>
    <x v="15"/>
    <x v="2"/>
    <n v="2202"/>
    <n v="1878"/>
    <n v="0.85286103542234337"/>
  </r>
  <r>
    <s v="P082"/>
    <x v="81"/>
    <x v="5"/>
    <x v="3"/>
    <x v="73"/>
    <x v="177"/>
    <x v="1"/>
    <x v="1"/>
    <x v="2"/>
    <x v="245"/>
    <x v="0"/>
    <x v="5"/>
    <x v="17"/>
    <x v="78"/>
    <n v="6835"/>
    <n v="0"/>
    <n v="0"/>
  </r>
  <r>
    <s v="P083"/>
    <x v="82"/>
    <x v="2"/>
    <x v="7"/>
    <x v="74"/>
    <x v="178"/>
    <x v="0"/>
    <x v="0"/>
    <x v="0"/>
    <x v="246"/>
    <x v="1"/>
    <x v="2"/>
    <x v="3"/>
    <x v="2"/>
    <n v="8645"/>
    <n v="8633"/>
    <n v="0.99861191440138808"/>
  </r>
  <r>
    <s v="P083"/>
    <x v="82"/>
    <x v="2"/>
    <x v="4"/>
    <x v="74"/>
    <x v="87"/>
    <x v="0"/>
    <x v="1"/>
    <x v="1"/>
    <x v="247"/>
    <x v="1"/>
    <x v="1"/>
    <x v="33"/>
    <x v="2"/>
    <n v="9360"/>
    <n v="9196"/>
    <n v="0.98247863247863243"/>
  </r>
  <r>
    <s v="P083"/>
    <x v="82"/>
    <x v="2"/>
    <x v="12"/>
    <x v="74"/>
    <x v="24"/>
    <x v="0"/>
    <x v="1"/>
    <x v="2"/>
    <x v="248"/>
    <x v="0"/>
    <x v="1"/>
    <x v="5"/>
    <x v="72"/>
    <n v="2183"/>
    <n v="0"/>
    <n v="0"/>
  </r>
  <r>
    <s v="P084"/>
    <x v="83"/>
    <x v="5"/>
    <x v="12"/>
    <x v="43"/>
    <x v="179"/>
    <x v="3"/>
    <x v="2"/>
    <x v="0"/>
    <x v="249"/>
    <x v="2"/>
    <x v="1"/>
    <x v="16"/>
    <x v="34"/>
    <n v="1713"/>
    <n v="0"/>
    <n v="0"/>
  </r>
  <r>
    <s v="P084"/>
    <x v="83"/>
    <x v="5"/>
    <x v="8"/>
    <x v="43"/>
    <x v="180"/>
    <x v="3"/>
    <x v="0"/>
    <x v="1"/>
    <x v="250"/>
    <x v="0"/>
    <x v="5"/>
    <x v="20"/>
    <x v="79"/>
    <n v="6400"/>
    <n v="0"/>
    <n v="0"/>
  </r>
  <r>
    <s v="P084"/>
    <x v="83"/>
    <x v="5"/>
    <x v="8"/>
    <x v="43"/>
    <x v="5"/>
    <x v="3"/>
    <x v="1"/>
    <x v="2"/>
    <x v="251"/>
    <x v="2"/>
    <x v="6"/>
    <x v="37"/>
    <x v="35"/>
    <n v="3319"/>
    <n v="0"/>
    <n v="0"/>
  </r>
  <r>
    <s v="P085"/>
    <x v="84"/>
    <x v="5"/>
    <x v="6"/>
    <x v="75"/>
    <x v="181"/>
    <x v="2"/>
    <x v="2"/>
    <x v="0"/>
    <x v="252"/>
    <x v="2"/>
    <x v="2"/>
    <x v="16"/>
    <x v="25"/>
    <n v="8340"/>
    <n v="0"/>
    <n v="0"/>
  </r>
  <r>
    <s v="P085"/>
    <x v="84"/>
    <x v="5"/>
    <x v="10"/>
    <x v="75"/>
    <x v="7"/>
    <x v="2"/>
    <x v="1"/>
    <x v="1"/>
    <x v="253"/>
    <x v="1"/>
    <x v="7"/>
    <x v="22"/>
    <x v="2"/>
    <n v="4749"/>
    <n v="4572"/>
    <n v="0.96272899557801639"/>
  </r>
  <r>
    <s v="P085"/>
    <x v="84"/>
    <x v="5"/>
    <x v="1"/>
    <x v="75"/>
    <x v="182"/>
    <x v="2"/>
    <x v="1"/>
    <x v="2"/>
    <x v="254"/>
    <x v="2"/>
    <x v="2"/>
    <x v="3"/>
    <x v="60"/>
    <n v="6222"/>
    <n v="0"/>
    <n v="0"/>
  </r>
  <r>
    <s v="P086"/>
    <x v="85"/>
    <x v="0"/>
    <x v="3"/>
    <x v="76"/>
    <x v="183"/>
    <x v="2"/>
    <x v="1"/>
    <x v="0"/>
    <x v="255"/>
    <x v="0"/>
    <x v="6"/>
    <x v="18"/>
    <x v="34"/>
    <n v="9246"/>
    <n v="0"/>
    <n v="0"/>
  </r>
  <r>
    <s v="P086"/>
    <x v="85"/>
    <x v="0"/>
    <x v="3"/>
    <x v="76"/>
    <x v="7"/>
    <x v="2"/>
    <x v="1"/>
    <x v="1"/>
    <x v="256"/>
    <x v="1"/>
    <x v="6"/>
    <x v="25"/>
    <x v="2"/>
    <n v="7327"/>
    <n v="7120"/>
    <n v="0.97174832810154221"/>
  </r>
  <r>
    <s v="P086"/>
    <x v="85"/>
    <x v="0"/>
    <x v="6"/>
    <x v="76"/>
    <x v="184"/>
    <x v="2"/>
    <x v="1"/>
    <x v="2"/>
    <x v="257"/>
    <x v="2"/>
    <x v="2"/>
    <x v="33"/>
    <x v="73"/>
    <n v="6331"/>
    <n v="0"/>
    <n v="0"/>
  </r>
  <r>
    <s v="P087"/>
    <x v="86"/>
    <x v="2"/>
    <x v="5"/>
    <x v="77"/>
    <x v="185"/>
    <x v="1"/>
    <x v="1"/>
    <x v="0"/>
    <x v="258"/>
    <x v="0"/>
    <x v="4"/>
    <x v="27"/>
    <x v="59"/>
    <n v="2256"/>
    <n v="0"/>
    <n v="0"/>
  </r>
  <r>
    <s v="P087"/>
    <x v="86"/>
    <x v="2"/>
    <x v="4"/>
    <x v="77"/>
    <x v="186"/>
    <x v="1"/>
    <x v="0"/>
    <x v="1"/>
    <x v="259"/>
    <x v="2"/>
    <x v="0"/>
    <x v="23"/>
    <x v="16"/>
    <n v="5371"/>
    <n v="0"/>
    <n v="0"/>
  </r>
  <r>
    <s v="P087"/>
    <x v="86"/>
    <x v="2"/>
    <x v="8"/>
    <x v="77"/>
    <x v="187"/>
    <x v="1"/>
    <x v="1"/>
    <x v="2"/>
    <x v="260"/>
    <x v="0"/>
    <x v="2"/>
    <x v="0"/>
    <x v="80"/>
    <n v="2434"/>
    <n v="0"/>
    <n v="0"/>
  </r>
  <r>
    <s v="P088"/>
    <x v="87"/>
    <x v="5"/>
    <x v="12"/>
    <x v="0"/>
    <x v="152"/>
    <x v="2"/>
    <x v="1"/>
    <x v="0"/>
    <x v="261"/>
    <x v="0"/>
    <x v="2"/>
    <x v="20"/>
    <x v="5"/>
    <n v="7504"/>
    <n v="0"/>
    <n v="0"/>
  </r>
  <r>
    <s v="P088"/>
    <x v="87"/>
    <x v="5"/>
    <x v="6"/>
    <x v="0"/>
    <x v="188"/>
    <x v="2"/>
    <x v="0"/>
    <x v="1"/>
    <x v="262"/>
    <x v="2"/>
    <x v="0"/>
    <x v="35"/>
    <x v="68"/>
    <n v="7717"/>
    <n v="0"/>
    <n v="0"/>
  </r>
  <r>
    <s v="P088"/>
    <x v="87"/>
    <x v="5"/>
    <x v="11"/>
    <x v="0"/>
    <x v="71"/>
    <x v="2"/>
    <x v="1"/>
    <x v="2"/>
    <x v="263"/>
    <x v="0"/>
    <x v="7"/>
    <x v="9"/>
    <x v="42"/>
    <n v="4651"/>
    <n v="0"/>
    <n v="0"/>
  </r>
  <r>
    <s v="P089"/>
    <x v="88"/>
    <x v="0"/>
    <x v="12"/>
    <x v="78"/>
    <x v="189"/>
    <x v="1"/>
    <x v="0"/>
    <x v="0"/>
    <x v="264"/>
    <x v="0"/>
    <x v="3"/>
    <x v="16"/>
    <x v="44"/>
    <n v="5791"/>
    <n v="0"/>
    <n v="0"/>
  </r>
  <r>
    <s v="P089"/>
    <x v="88"/>
    <x v="0"/>
    <x v="11"/>
    <x v="78"/>
    <x v="190"/>
    <x v="1"/>
    <x v="1"/>
    <x v="1"/>
    <x v="265"/>
    <x v="0"/>
    <x v="2"/>
    <x v="1"/>
    <x v="81"/>
    <n v="4133"/>
    <n v="0"/>
    <n v="0"/>
  </r>
  <r>
    <s v="P089"/>
    <x v="88"/>
    <x v="0"/>
    <x v="11"/>
    <x v="78"/>
    <x v="86"/>
    <x v="1"/>
    <x v="0"/>
    <x v="2"/>
    <x v="266"/>
    <x v="1"/>
    <x v="1"/>
    <x v="30"/>
    <x v="2"/>
    <n v="8716"/>
    <n v="8476"/>
    <n v="0.97246443322625054"/>
  </r>
  <r>
    <s v="P090"/>
    <x v="89"/>
    <x v="5"/>
    <x v="7"/>
    <x v="41"/>
    <x v="103"/>
    <x v="2"/>
    <x v="1"/>
    <x v="0"/>
    <x v="267"/>
    <x v="1"/>
    <x v="5"/>
    <x v="17"/>
    <x v="2"/>
    <n v="9174"/>
    <n v="9031"/>
    <n v="0.9844124700239808"/>
  </r>
  <r>
    <s v="P090"/>
    <x v="89"/>
    <x v="5"/>
    <x v="8"/>
    <x v="41"/>
    <x v="191"/>
    <x v="2"/>
    <x v="2"/>
    <x v="1"/>
    <x v="268"/>
    <x v="0"/>
    <x v="2"/>
    <x v="29"/>
    <x v="71"/>
    <n v="9702"/>
    <n v="0"/>
    <n v="0"/>
  </r>
  <r>
    <s v="P090"/>
    <x v="89"/>
    <x v="5"/>
    <x v="12"/>
    <x v="41"/>
    <x v="192"/>
    <x v="2"/>
    <x v="1"/>
    <x v="2"/>
    <x v="269"/>
    <x v="0"/>
    <x v="0"/>
    <x v="17"/>
    <x v="63"/>
    <n v="8975"/>
    <n v="0"/>
    <n v="0"/>
  </r>
  <r>
    <s v="P091"/>
    <x v="90"/>
    <x v="0"/>
    <x v="7"/>
    <x v="79"/>
    <x v="193"/>
    <x v="3"/>
    <x v="1"/>
    <x v="0"/>
    <x v="270"/>
    <x v="1"/>
    <x v="0"/>
    <x v="7"/>
    <x v="2"/>
    <n v="7491"/>
    <n v="7138"/>
    <n v="0.95287678547590438"/>
  </r>
  <r>
    <s v="P091"/>
    <x v="90"/>
    <x v="0"/>
    <x v="7"/>
    <x v="79"/>
    <x v="168"/>
    <x v="3"/>
    <x v="0"/>
    <x v="1"/>
    <x v="271"/>
    <x v="2"/>
    <x v="6"/>
    <x v="28"/>
    <x v="13"/>
    <n v="4013"/>
    <n v="0"/>
    <n v="0"/>
  </r>
  <r>
    <s v="P091"/>
    <x v="90"/>
    <x v="0"/>
    <x v="4"/>
    <x v="79"/>
    <x v="194"/>
    <x v="3"/>
    <x v="2"/>
    <x v="2"/>
    <x v="272"/>
    <x v="2"/>
    <x v="6"/>
    <x v="36"/>
    <x v="23"/>
    <n v="1670"/>
    <n v="0"/>
    <n v="0"/>
  </r>
  <r>
    <s v="P092"/>
    <x v="91"/>
    <x v="1"/>
    <x v="5"/>
    <x v="80"/>
    <x v="195"/>
    <x v="2"/>
    <x v="0"/>
    <x v="0"/>
    <x v="273"/>
    <x v="2"/>
    <x v="6"/>
    <x v="28"/>
    <x v="9"/>
    <n v="6004"/>
    <n v="0"/>
    <n v="0"/>
  </r>
  <r>
    <s v="P092"/>
    <x v="91"/>
    <x v="1"/>
    <x v="10"/>
    <x v="80"/>
    <x v="7"/>
    <x v="2"/>
    <x v="0"/>
    <x v="1"/>
    <x v="274"/>
    <x v="1"/>
    <x v="1"/>
    <x v="8"/>
    <x v="2"/>
    <n v="9649"/>
    <n v="9485"/>
    <n v="0.98300342004352781"/>
  </r>
  <r>
    <s v="P092"/>
    <x v="91"/>
    <x v="1"/>
    <x v="12"/>
    <x v="80"/>
    <x v="7"/>
    <x v="2"/>
    <x v="1"/>
    <x v="2"/>
    <x v="275"/>
    <x v="1"/>
    <x v="7"/>
    <x v="21"/>
    <x v="2"/>
    <n v="5921"/>
    <n v="5788"/>
    <n v="0.97753757811180542"/>
  </r>
  <r>
    <s v="P093"/>
    <x v="92"/>
    <x v="2"/>
    <x v="6"/>
    <x v="81"/>
    <x v="196"/>
    <x v="2"/>
    <x v="2"/>
    <x v="0"/>
    <x v="276"/>
    <x v="1"/>
    <x v="2"/>
    <x v="12"/>
    <x v="2"/>
    <n v="4306"/>
    <n v="3888"/>
    <n v="0.90292614955875528"/>
  </r>
  <r>
    <s v="P093"/>
    <x v="92"/>
    <x v="2"/>
    <x v="10"/>
    <x v="81"/>
    <x v="180"/>
    <x v="2"/>
    <x v="2"/>
    <x v="1"/>
    <x v="277"/>
    <x v="0"/>
    <x v="3"/>
    <x v="26"/>
    <x v="44"/>
    <n v="8367"/>
    <n v="0"/>
    <n v="0"/>
  </r>
  <r>
    <s v="P093"/>
    <x v="92"/>
    <x v="2"/>
    <x v="12"/>
    <x v="81"/>
    <x v="196"/>
    <x v="2"/>
    <x v="2"/>
    <x v="2"/>
    <x v="278"/>
    <x v="1"/>
    <x v="1"/>
    <x v="10"/>
    <x v="2"/>
    <n v="4178"/>
    <n v="4148"/>
    <n v="0.99281953087601726"/>
  </r>
  <r>
    <s v="P094"/>
    <x v="93"/>
    <x v="3"/>
    <x v="8"/>
    <x v="32"/>
    <x v="197"/>
    <x v="0"/>
    <x v="1"/>
    <x v="0"/>
    <x v="279"/>
    <x v="0"/>
    <x v="3"/>
    <x v="8"/>
    <x v="24"/>
    <n v="1773"/>
    <n v="0"/>
    <n v="0"/>
  </r>
  <r>
    <s v="P094"/>
    <x v="93"/>
    <x v="3"/>
    <x v="10"/>
    <x v="32"/>
    <x v="198"/>
    <x v="0"/>
    <x v="1"/>
    <x v="1"/>
    <x v="280"/>
    <x v="0"/>
    <x v="5"/>
    <x v="40"/>
    <x v="82"/>
    <n v="7829"/>
    <n v="0"/>
    <n v="0"/>
  </r>
  <r>
    <s v="P094"/>
    <x v="93"/>
    <x v="3"/>
    <x v="6"/>
    <x v="32"/>
    <x v="41"/>
    <x v="0"/>
    <x v="0"/>
    <x v="2"/>
    <x v="281"/>
    <x v="0"/>
    <x v="1"/>
    <x v="38"/>
    <x v="72"/>
    <n v="1447"/>
    <n v="3357"/>
    <n v="2.3199723565998616"/>
  </r>
  <r>
    <s v="P095"/>
    <x v="94"/>
    <x v="4"/>
    <x v="2"/>
    <x v="77"/>
    <x v="12"/>
    <x v="0"/>
    <x v="0"/>
    <x v="0"/>
    <x v="282"/>
    <x v="2"/>
    <x v="6"/>
    <x v="3"/>
    <x v="83"/>
    <n v="8329"/>
    <n v="0"/>
    <n v="0"/>
  </r>
  <r>
    <s v="P095"/>
    <x v="94"/>
    <x v="4"/>
    <x v="10"/>
    <x v="77"/>
    <x v="199"/>
    <x v="0"/>
    <x v="2"/>
    <x v="1"/>
    <x v="283"/>
    <x v="0"/>
    <x v="3"/>
    <x v="30"/>
    <x v="19"/>
    <n v="6160"/>
    <n v="0"/>
    <n v="0"/>
  </r>
  <r>
    <s v="P095"/>
    <x v="94"/>
    <x v="4"/>
    <x v="1"/>
    <x v="77"/>
    <x v="200"/>
    <x v="0"/>
    <x v="1"/>
    <x v="2"/>
    <x v="284"/>
    <x v="0"/>
    <x v="1"/>
    <x v="6"/>
    <x v="78"/>
    <n v="6083"/>
    <n v="0"/>
    <n v="0"/>
  </r>
  <r>
    <s v="P096"/>
    <x v="95"/>
    <x v="0"/>
    <x v="12"/>
    <x v="80"/>
    <x v="189"/>
    <x v="1"/>
    <x v="2"/>
    <x v="0"/>
    <x v="285"/>
    <x v="2"/>
    <x v="2"/>
    <x v="16"/>
    <x v="84"/>
    <n v="1235"/>
    <n v="0"/>
    <n v="0"/>
  </r>
  <r>
    <s v="P096"/>
    <x v="95"/>
    <x v="0"/>
    <x v="10"/>
    <x v="80"/>
    <x v="201"/>
    <x v="1"/>
    <x v="0"/>
    <x v="1"/>
    <x v="286"/>
    <x v="0"/>
    <x v="4"/>
    <x v="40"/>
    <x v="71"/>
    <n v="2984"/>
    <n v="6060"/>
    <n v="2.0308310991957104"/>
  </r>
  <r>
    <s v="P096"/>
    <x v="95"/>
    <x v="0"/>
    <x v="2"/>
    <x v="80"/>
    <x v="202"/>
    <x v="1"/>
    <x v="1"/>
    <x v="2"/>
    <x v="287"/>
    <x v="2"/>
    <x v="5"/>
    <x v="13"/>
    <x v="13"/>
    <n v="5211"/>
    <n v="0"/>
    <n v="0"/>
  </r>
  <r>
    <s v="P097"/>
    <x v="96"/>
    <x v="5"/>
    <x v="11"/>
    <x v="82"/>
    <x v="203"/>
    <x v="0"/>
    <x v="1"/>
    <x v="0"/>
    <x v="288"/>
    <x v="2"/>
    <x v="5"/>
    <x v="11"/>
    <x v="46"/>
    <n v="6292"/>
    <n v="0"/>
    <n v="0"/>
  </r>
  <r>
    <s v="P097"/>
    <x v="96"/>
    <x v="5"/>
    <x v="9"/>
    <x v="82"/>
    <x v="204"/>
    <x v="0"/>
    <x v="0"/>
    <x v="1"/>
    <x v="289"/>
    <x v="2"/>
    <x v="3"/>
    <x v="16"/>
    <x v="35"/>
    <n v="2335"/>
    <n v="0"/>
    <n v="0"/>
  </r>
  <r>
    <s v="P097"/>
    <x v="96"/>
    <x v="5"/>
    <x v="6"/>
    <x v="82"/>
    <x v="71"/>
    <x v="0"/>
    <x v="1"/>
    <x v="2"/>
    <x v="290"/>
    <x v="2"/>
    <x v="5"/>
    <x v="13"/>
    <x v="33"/>
    <n v="3956"/>
    <n v="0"/>
    <n v="0"/>
  </r>
  <r>
    <s v="P098"/>
    <x v="97"/>
    <x v="2"/>
    <x v="10"/>
    <x v="51"/>
    <x v="72"/>
    <x v="2"/>
    <x v="0"/>
    <x v="0"/>
    <x v="291"/>
    <x v="0"/>
    <x v="2"/>
    <x v="0"/>
    <x v="85"/>
    <n v="8906"/>
    <n v="0"/>
    <n v="0"/>
  </r>
  <r>
    <s v="P098"/>
    <x v="97"/>
    <x v="2"/>
    <x v="0"/>
    <x v="51"/>
    <x v="205"/>
    <x v="2"/>
    <x v="0"/>
    <x v="1"/>
    <x v="292"/>
    <x v="2"/>
    <x v="1"/>
    <x v="14"/>
    <x v="86"/>
    <n v="8346"/>
    <n v="0"/>
    <n v="0"/>
  </r>
  <r>
    <s v="P098"/>
    <x v="97"/>
    <x v="2"/>
    <x v="7"/>
    <x v="51"/>
    <x v="206"/>
    <x v="2"/>
    <x v="1"/>
    <x v="2"/>
    <x v="293"/>
    <x v="0"/>
    <x v="1"/>
    <x v="40"/>
    <x v="80"/>
    <n v="5134"/>
    <n v="0"/>
    <n v="0"/>
  </r>
  <r>
    <s v="P099"/>
    <x v="98"/>
    <x v="5"/>
    <x v="1"/>
    <x v="72"/>
    <x v="207"/>
    <x v="2"/>
    <x v="0"/>
    <x v="0"/>
    <x v="294"/>
    <x v="2"/>
    <x v="1"/>
    <x v="6"/>
    <x v="87"/>
    <n v="7307"/>
    <n v="0"/>
    <n v="0"/>
  </r>
  <r>
    <s v="P099"/>
    <x v="98"/>
    <x v="5"/>
    <x v="4"/>
    <x v="72"/>
    <x v="153"/>
    <x v="2"/>
    <x v="1"/>
    <x v="1"/>
    <x v="295"/>
    <x v="2"/>
    <x v="5"/>
    <x v="2"/>
    <x v="17"/>
    <n v="9425"/>
    <n v="0"/>
    <n v="0"/>
  </r>
  <r>
    <s v="P099"/>
    <x v="98"/>
    <x v="5"/>
    <x v="9"/>
    <x v="72"/>
    <x v="208"/>
    <x v="2"/>
    <x v="1"/>
    <x v="2"/>
    <x v="296"/>
    <x v="2"/>
    <x v="6"/>
    <x v="33"/>
    <x v="79"/>
    <n v="5199"/>
    <n v="0"/>
    <n v="0"/>
  </r>
  <r>
    <s v="P100"/>
    <x v="99"/>
    <x v="5"/>
    <x v="6"/>
    <x v="83"/>
    <x v="209"/>
    <x v="1"/>
    <x v="0"/>
    <x v="0"/>
    <x v="297"/>
    <x v="2"/>
    <x v="1"/>
    <x v="35"/>
    <x v="12"/>
    <n v="2156"/>
    <n v="0"/>
    <n v="0"/>
  </r>
  <r>
    <s v="P100"/>
    <x v="99"/>
    <x v="5"/>
    <x v="3"/>
    <x v="83"/>
    <x v="210"/>
    <x v="1"/>
    <x v="0"/>
    <x v="1"/>
    <x v="298"/>
    <x v="2"/>
    <x v="7"/>
    <x v="0"/>
    <x v="25"/>
    <n v="1502"/>
    <n v="0"/>
    <n v="0"/>
  </r>
  <r>
    <s v="P100"/>
    <x v="99"/>
    <x v="5"/>
    <x v="6"/>
    <x v="83"/>
    <x v="210"/>
    <x v="1"/>
    <x v="0"/>
    <x v="2"/>
    <x v="299"/>
    <x v="0"/>
    <x v="2"/>
    <x v="24"/>
    <x v="88"/>
    <n v="8619"/>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4E67D1-DAD6-4051-97C5-2F82B8E888A7}" name="PivotTable3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2:A3" firstHeaderRow="1" firstDataRow="1" firstDataCol="0"/>
  <pivotFields count="20">
    <pivotField dataField="1"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Projec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19EEB9-E14F-4E08-922E-A20ED0FF5B2B}" name="PivotTable4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location ref="C5:C6" firstHeaderRow="1" firstDataRow="1" firstDataCol="0"/>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showAll="0"/>
    <pivotField showAll="0"/>
    <pivotField showAll="0">
      <items count="4">
        <item x="1"/>
        <item x="0"/>
        <item x="2"/>
        <item t="default"/>
      </items>
    </pivotField>
    <pivotField showAll="0">
      <items count="9">
        <item h="1" x="2"/>
        <item h="1" x="0"/>
        <item h="1" x="1"/>
        <item h="1" x="7"/>
        <item x="6"/>
        <item h="1" x="4"/>
        <item h="1" x="3"/>
        <item h="1" x="5"/>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Hours Spent" fld="12" baseField="0" baseItem="0"/>
  </dataFields>
  <formats count="3">
    <format dxfId="2">
      <pivotArea type="all" dataOnly="0" outline="0"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1AAE9C-A631-4C9F-A43E-16CDB8367654}" name="PivotTable3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E20:F34" firstHeaderRow="1" firstDataRow="1" firstDataCol="1"/>
  <pivotFields count="20">
    <pivotField dataField="1" showAll="0"/>
    <pivotField showAll="0"/>
    <pivotField showAll="0">
      <items count="7">
        <item x="2"/>
        <item x="3"/>
        <item x="1"/>
        <item x="4"/>
        <item x="5"/>
        <item x="0"/>
        <item t="default"/>
      </items>
    </pivotField>
    <pivotField axis="axisRow"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4">
    <i>
      <x/>
    </i>
    <i>
      <x v="1"/>
    </i>
    <i>
      <x v="2"/>
    </i>
    <i>
      <x v="3"/>
    </i>
    <i>
      <x v="4"/>
    </i>
    <i>
      <x v="5"/>
    </i>
    <i>
      <x v="6"/>
    </i>
    <i>
      <x v="7"/>
    </i>
    <i>
      <x v="8"/>
    </i>
    <i>
      <x v="9"/>
    </i>
    <i>
      <x v="10"/>
    </i>
    <i>
      <x v="11"/>
    </i>
    <i>
      <x v="12"/>
    </i>
    <i t="grand">
      <x/>
    </i>
  </rowItems>
  <colItems count="1">
    <i/>
  </colItems>
  <dataFields count="1">
    <dataField name="Count of Project ID" fld="0" subtotal="count" baseField="0" baseItem="0"/>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ECD1FF-8B3F-4883-B536-F936ECF68356}" name="PivotTable3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A9:B15" firstHeaderRow="1" firstDataRow="1" firstDataCol="1"/>
  <pivotFields count="20">
    <pivotField dataField="1" showAll="0"/>
    <pivotField showAll="0"/>
    <pivotField axis="axisRow" showAll="0" sortType="ascending">
      <items count="7">
        <item x="2"/>
        <item x="3"/>
        <item x="1"/>
        <item x="4"/>
        <item x="5"/>
        <item x="0"/>
        <item t="default"/>
      </items>
      <autoSortScope>
        <pivotArea dataOnly="0" outline="0" fieldPosition="0">
          <references count="1">
            <reference field="4294967294" count="1" selected="0">
              <x v="0"/>
            </reference>
          </references>
        </pivotArea>
      </autoSortScope>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v="3"/>
    </i>
    <i>
      <x v="2"/>
    </i>
    <i>
      <x/>
    </i>
    <i>
      <x v="5"/>
    </i>
    <i>
      <x v="4"/>
    </i>
    <i t="grand">
      <x/>
    </i>
  </rowItems>
  <colItems count="1">
    <i/>
  </colItems>
  <dataFields count="1">
    <dataField name="Count of Project ID" fld="0" subtotal="count"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A3B595-5BF8-44FD-A70D-574BC52BE018}" name="PivotTable4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0">
  <location ref="A60:B64" firstHeaderRow="1" firstDataRow="1"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axis="axisRow" showAll="0" sortType="ascending">
      <items count="4">
        <item x="0"/>
        <item x="1"/>
        <item x="2"/>
        <item t="default"/>
      </items>
    </pivotField>
    <pivotField showAll="0">
      <items count="301">
        <item x="27"/>
        <item x="72"/>
        <item x="117"/>
        <item x="162"/>
        <item x="207"/>
        <item x="252"/>
        <item x="297"/>
        <item x="18"/>
        <item x="63"/>
        <item x="108"/>
        <item x="153"/>
        <item x="198"/>
        <item x="243"/>
        <item x="288"/>
        <item x="12"/>
        <item x="57"/>
        <item x="102"/>
        <item x="147"/>
        <item x="192"/>
        <item x="237"/>
        <item x="282"/>
        <item x="42"/>
        <item x="87"/>
        <item x="132"/>
        <item x="177"/>
        <item x="222"/>
        <item x="267"/>
        <item x="21"/>
        <item x="66"/>
        <item x="111"/>
        <item x="156"/>
        <item x="201"/>
        <item x="246"/>
        <item x="291"/>
        <item x="6"/>
        <item x="51"/>
        <item x="96"/>
        <item x="141"/>
        <item x="186"/>
        <item x="231"/>
        <item x="276"/>
        <item x="24"/>
        <item x="69"/>
        <item x="114"/>
        <item x="159"/>
        <item x="204"/>
        <item x="249"/>
        <item x="294"/>
        <item x="3"/>
        <item x="48"/>
        <item x="93"/>
        <item x="138"/>
        <item x="183"/>
        <item x="228"/>
        <item x="273"/>
        <item x="15"/>
        <item x="60"/>
        <item x="105"/>
        <item x="150"/>
        <item x="195"/>
        <item x="240"/>
        <item x="285"/>
        <item x="39"/>
        <item x="84"/>
        <item x="129"/>
        <item x="174"/>
        <item x="219"/>
        <item x="264"/>
        <item x="0"/>
        <item x="45"/>
        <item x="90"/>
        <item x="135"/>
        <item x="180"/>
        <item x="225"/>
        <item x="270"/>
        <item x="9"/>
        <item x="54"/>
        <item x="99"/>
        <item x="144"/>
        <item x="189"/>
        <item x="234"/>
        <item x="279"/>
        <item x="30"/>
        <item x="75"/>
        <item x="120"/>
        <item x="165"/>
        <item x="210"/>
        <item x="255"/>
        <item x="36"/>
        <item x="81"/>
        <item x="126"/>
        <item x="171"/>
        <item x="216"/>
        <item x="261"/>
        <item x="33"/>
        <item x="78"/>
        <item x="123"/>
        <item x="168"/>
        <item x="213"/>
        <item x="258"/>
        <item x="28"/>
        <item x="73"/>
        <item x="118"/>
        <item x="163"/>
        <item x="208"/>
        <item x="253"/>
        <item x="298"/>
        <item x="19"/>
        <item x="64"/>
        <item x="109"/>
        <item x="154"/>
        <item x="199"/>
        <item x="244"/>
        <item x="289"/>
        <item x="13"/>
        <item x="58"/>
        <item x="103"/>
        <item x="148"/>
        <item x="193"/>
        <item x="238"/>
        <item x="283"/>
        <item x="43"/>
        <item x="88"/>
        <item x="133"/>
        <item x="178"/>
        <item x="223"/>
        <item x="268"/>
        <item x="22"/>
        <item x="67"/>
        <item x="112"/>
        <item x="157"/>
        <item x="202"/>
        <item x="247"/>
        <item x="292"/>
        <item x="7"/>
        <item x="52"/>
        <item x="97"/>
        <item x="142"/>
        <item x="187"/>
        <item x="232"/>
        <item x="277"/>
        <item x="25"/>
        <item x="70"/>
        <item x="115"/>
        <item x="160"/>
        <item x="205"/>
        <item x="250"/>
        <item x="295"/>
        <item x="4"/>
        <item x="49"/>
        <item x="94"/>
        <item x="139"/>
        <item x="184"/>
        <item x="229"/>
        <item x="274"/>
        <item x="16"/>
        <item x="61"/>
        <item x="106"/>
        <item x="151"/>
        <item x="196"/>
        <item x="241"/>
        <item x="286"/>
        <item x="40"/>
        <item x="85"/>
        <item x="130"/>
        <item x="175"/>
        <item x="220"/>
        <item x="265"/>
        <item x="1"/>
        <item x="46"/>
        <item x="91"/>
        <item x="136"/>
        <item x="181"/>
        <item x="226"/>
        <item x="271"/>
        <item x="10"/>
        <item x="55"/>
        <item x="100"/>
        <item x="145"/>
        <item x="190"/>
        <item x="235"/>
        <item x="280"/>
        <item x="31"/>
        <item x="76"/>
        <item x="121"/>
        <item x="166"/>
        <item x="211"/>
        <item x="256"/>
        <item x="37"/>
        <item x="82"/>
        <item x="127"/>
        <item x="172"/>
        <item x="217"/>
        <item x="262"/>
        <item x="34"/>
        <item x="79"/>
        <item x="124"/>
        <item x="169"/>
        <item x="214"/>
        <item x="259"/>
        <item x="29"/>
        <item x="74"/>
        <item x="119"/>
        <item x="164"/>
        <item x="209"/>
        <item x="254"/>
        <item x="299"/>
        <item x="20"/>
        <item x="65"/>
        <item x="110"/>
        <item x="155"/>
        <item x="200"/>
        <item x="245"/>
        <item x="290"/>
        <item x="14"/>
        <item x="59"/>
        <item x="104"/>
        <item x="149"/>
        <item x="194"/>
        <item x="239"/>
        <item x="284"/>
        <item x="44"/>
        <item x="89"/>
        <item x="134"/>
        <item x="179"/>
        <item x="224"/>
        <item x="269"/>
        <item x="23"/>
        <item x="68"/>
        <item x="113"/>
        <item x="158"/>
        <item x="203"/>
        <item x="248"/>
        <item x="293"/>
        <item x="8"/>
        <item x="53"/>
        <item x="98"/>
        <item x="143"/>
        <item x="188"/>
        <item x="233"/>
        <item x="278"/>
        <item x="26"/>
        <item x="71"/>
        <item x="116"/>
        <item x="161"/>
        <item x="206"/>
        <item x="251"/>
        <item x="296"/>
        <item x="5"/>
        <item x="50"/>
        <item x="95"/>
        <item x="140"/>
        <item x="185"/>
        <item x="230"/>
        <item x="275"/>
        <item x="17"/>
        <item x="62"/>
        <item x="107"/>
        <item x="152"/>
        <item x="197"/>
        <item x="242"/>
        <item x="287"/>
        <item x="41"/>
        <item x="86"/>
        <item x="131"/>
        <item x="176"/>
        <item x="221"/>
        <item x="266"/>
        <item x="2"/>
        <item x="47"/>
        <item x="92"/>
        <item x="137"/>
        <item x="182"/>
        <item x="227"/>
        <item x="272"/>
        <item x="11"/>
        <item x="56"/>
        <item x="101"/>
        <item x="146"/>
        <item x="191"/>
        <item x="236"/>
        <item x="281"/>
        <item x="32"/>
        <item x="77"/>
        <item x="122"/>
        <item x="167"/>
        <item x="212"/>
        <item x="257"/>
        <item x="38"/>
        <item x="83"/>
        <item x="128"/>
        <item x="173"/>
        <item x="218"/>
        <item x="263"/>
        <item x="35"/>
        <item x="80"/>
        <item x="125"/>
        <item x="170"/>
        <item x="215"/>
        <item x="260"/>
        <item t="default"/>
      </items>
    </pivotField>
    <pivotField showAll="0">
      <items count="4">
        <item x="1"/>
        <item x="0"/>
        <item x="2"/>
        <item t="default"/>
      </items>
    </pivotField>
    <pivotField showAll="0">
      <items count="9">
        <item x="2"/>
        <item h="1" x="0"/>
        <item h="1" x="1"/>
        <item h="1" x="7"/>
        <item h="1" x="6"/>
        <item h="1" x="4"/>
        <item h="1" x="3"/>
        <item h="1" x="5"/>
        <item t="default"/>
      </items>
    </pivotField>
    <pivotField showAll="0">
      <items count="42">
        <item x="10"/>
        <item x="23"/>
        <item x="19"/>
        <item x="34"/>
        <item x="1"/>
        <item x="2"/>
        <item x="25"/>
        <item x="6"/>
        <item x="27"/>
        <item x="11"/>
        <item x="15"/>
        <item x="21"/>
        <item x="0"/>
        <item x="8"/>
        <item x="37"/>
        <item x="22"/>
        <item x="20"/>
        <item x="16"/>
        <item x="9"/>
        <item x="33"/>
        <item x="40"/>
        <item x="17"/>
        <item x="28"/>
        <item x="7"/>
        <item x="3"/>
        <item x="14"/>
        <item x="4"/>
        <item x="29"/>
        <item x="5"/>
        <item x="39"/>
        <item x="35"/>
        <item x="26"/>
        <item x="13"/>
        <item x="36"/>
        <item x="30"/>
        <item x="18"/>
        <item x="32"/>
        <item x="31"/>
        <item x="24"/>
        <item x="38"/>
        <item x="12"/>
        <item t="default"/>
      </items>
    </pivotField>
    <pivotField dataField="1" showAll="0">
      <items count="90">
        <item x="74"/>
        <item x="25"/>
        <item x="65"/>
        <item x="9"/>
        <item x="43"/>
        <item x="59"/>
        <item x="10"/>
        <item x="71"/>
        <item x="55"/>
        <item x="20"/>
        <item x="39"/>
        <item x="76"/>
        <item x="87"/>
        <item x="49"/>
        <item x="70"/>
        <item x="61"/>
        <item x="47"/>
        <item x="35"/>
        <item x="57"/>
        <item x="30"/>
        <item x="81"/>
        <item x="0"/>
        <item x="73"/>
        <item x="15"/>
        <item x="27"/>
        <item x="5"/>
        <item x="80"/>
        <item x="48"/>
        <item x="4"/>
        <item x="3"/>
        <item x="17"/>
        <item x="72"/>
        <item x="31"/>
        <item x="52"/>
        <item x="50"/>
        <item x="66"/>
        <item x="82"/>
        <item x="40"/>
        <item x="24"/>
        <item x="16"/>
        <item x="37"/>
        <item x="54"/>
        <item x="68"/>
        <item x="62"/>
        <item x="46"/>
        <item x="60"/>
        <item x="75"/>
        <item x="34"/>
        <item x="28"/>
        <item x="1"/>
        <item x="78"/>
        <item x="14"/>
        <item x="22"/>
        <item x="36"/>
        <item x="11"/>
        <item x="67"/>
        <item x="23"/>
        <item x="77"/>
        <item x="33"/>
        <item x="85"/>
        <item x="41"/>
        <item x="84"/>
        <item x="21"/>
        <item x="53"/>
        <item x="45"/>
        <item x="7"/>
        <item x="44"/>
        <item x="64"/>
        <item x="42"/>
        <item x="8"/>
        <item x="51"/>
        <item x="58"/>
        <item x="83"/>
        <item x="29"/>
        <item x="86"/>
        <item x="38"/>
        <item x="12"/>
        <item x="88"/>
        <item x="32"/>
        <item x="18"/>
        <item x="79"/>
        <item x="13"/>
        <item x="56"/>
        <item x="69"/>
        <item x="63"/>
        <item x="19"/>
        <item x="26"/>
        <item x="6"/>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Progress" fld="13" baseField="0" baseItem="0"/>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chartFormats count="1">
    <chartFormat chart="3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6BAEDA-BAEA-4433-A1B0-564A15BF36B3}" name="PivotTable4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3">
  <location ref="E40:F47" firstHeaderRow="1" firstDataRow="1" firstDataCol="1" rowPageCount="1" colPageCount="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dataField="1" showAll="0" sortType="ascending">
      <items count="4">
        <item x="0"/>
        <item x="1"/>
        <item x="2"/>
        <item t="default"/>
      </items>
    </pivotField>
    <pivotField showAll="0">
      <items count="301">
        <item x="27"/>
        <item x="72"/>
        <item x="117"/>
        <item x="162"/>
        <item x="207"/>
        <item x="252"/>
        <item x="297"/>
        <item x="18"/>
        <item x="63"/>
        <item x="108"/>
        <item x="153"/>
        <item x="198"/>
        <item x="243"/>
        <item x="288"/>
        <item x="12"/>
        <item x="57"/>
        <item x="102"/>
        <item x="147"/>
        <item x="192"/>
        <item x="237"/>
        <item x="282"/>
        <item x="42"/>
        <item x="87"/>
        <item x="132"/>
        <item x="177"/>
        <item x="222"/>
        <item x="267"/>
        <item x="21"/>
        <item x="66"/>
        <item x="111"/>
        <item x="156"/>
        <item x="201"/>
        <item x="246"/>
        <item x="291"/>
        <item x="6"/>
        <item x="51"/>
        <item x="96"/>
        <item x="141"/>
        <item x="186"/>
        <item x="231"/>
        <item x="276"/>
        <item x="24"/>
        <item x="69"/>
        <item x="114"/>
        <item x="159"/>
        <item x="204"/>
        <item x="249"/>
        <item x="294"/>
        <item x="3"/>
        <item x="48"/>
        <item x="93"/>
        <item x="138"/>
        <item x="183"/>
        <item x="228"/>
        <item x="273"/>
        <item x="15"/>
        <item x="60"/>
        <item x="105"/>
        <item x="150"/>
        <item x="195"/>
        <item x="240"/>
        <item x="285"/>
        <item x="39"/>
        <item x="84"/>
        <item x="129"/>
        <item x="174"/>
        <item x="219"/>
        <item x="264"/>
        <item x="0"/>
        <item x="45"/>
        <item x="90"/>
        <item x="135"/>
        <item x="180"/>
        <item x="225"/>
        <item x="270"/>
        <item x="9"/>
        <item x="54"/>
        <item x="99"/>
        <item x="144"/>
        <item x="189"/>
        <item x="234"/>
        <item x="279"/>
        <item x="30"/>
        <item x="75"/>
        <item x="120"/>
        <item x="165"/>
        <item x="210"/>
        <item x="255"/>
        <item x="36"/>
        <item x="81"/>
        <item x="126"/>
        <item x="171"/>
        <item x="216"/>
        <item x="261"/>
        <item x="33"/>
        <item x="78"/>
        <item x="123"/>
        <item x="168"/>
        <item x="213"/>
        <item x="258"/>
        <item x="28"/>
        <item x="73"/>
        <item x="118"/>
        <item x="163"/>
        <item x="208"/>
        <item x="253"/>
        <item x="298"/>
        <item x="19"/>
        <item x="64"/>
        <item x="109"/>
        <item x="154"/>
        <item x="199"/>
        <item x="244"/>
        <item x="289"/>
        <item x="13"/>
        <item x="58"/>
        <item x="103"/>
        <item x="148"/>
        <item x="193"/>
        <item x="238"/>
        <item x="283"/>
        <item x="43"/>
        <item x="88"/>
        <item x="133"/>
        <item x="178"/>
        <item x="223"/>
        <item x="268"/>
        <item x="22"/>
        <item x="67"/>
        <item x="112"/>
        <item x="157"/>
        <item x="202"/>
        <item x="247"/>
        <item x="292"/>
        <item x="7"/>
        <item x="52"/>
        <item x="97"/>
        <item x="142"/>
        <item x="187"/>
        <item x="232"/>
        <item x="277"/>
        <item x="25"/>
        <item x="70"/>
        <item x="115"/>
        <item x="160"/>
        <item x="205"/>
        <item x="250"/>
        <item x="295"/>
        <item x="4"/>
        <item x="49"/>
        <item x="94"/>
        <item x="139"/>
        <item x="184"/>
        <item x="229"/>
        <item x="274"/>
        <item x="16"/>
        <item x="61"/>
        <item x="106"/>
        <item x="151"/>
        <item x="196"/>
        <item x="241"/>
        <item x="286"/>
        <item x="40"/>
        <item x="85"/>
        <item x="130"/>
        <item x="175"/>
        <item x="220"/>
        <item x="265"/>
        <item x="1"/>
        <item x="46"/>
        <item x="91"/>
        <item x="136"/>
        <item x="181"/>
        <item x="226"/>
        <item x="271"/>
        <item x="10"/>
        <item x="55"/>
        <item x="100"/>
        <item x="145"/>
        <item x="190"/>
        <item x="235"/>
        <item x="280"/>
        <item x="31"/>
        <item x="76"/>
        <item x="121"/>
        <item x="166"/>
        <item x="211"/>
        <item x="256"/>
        <item x="37"/>
        <item x="82"/>
        <item x="127"/>
        <item x="172"/>
        <item x="217"/>
        <item x="262"/>
        <item x="34"/>
        <item x="79"/>
        <item x="124"/>
        <item x="169"/>
        <item x="214"/>
        <item x="259"/>
        <item x="29"/>
        <item x="74"/>
        <item x="119"/>
        <item x="164"/>
        <item x="209"/>
        <item x="254"/>
        <item x="299"/>
        <item x="20"/>
        <item x="65"/>
        <item x="110"/>
        <item x="155"/>
        <item x="200"/>
        <item x="245"/>
        <item x="290"/>
        <item x="14"/>
        <item x="59"/>
        <item x="104"/>
        <item x="149"/>
        <item x="194"/>
        <item x="239"/>
        <item x="284"/>
        <item x="44"/>
        <item x="89"/>
        <item x="134"/>
        <item x="179"/>
        <item x="224"/>
        <item x="269"/>
        <item x="23"/>
        <item x="68"/>
        <item x="113"/>
        <item x="158"/>
        <item x="203"/>
        <item x="248"/>
        <item x="293"/>
        <item x="8"/>
        <item x="53"/>
        <item x="98"/>
        <item x="143"/>
        <item x="188"/>
        <item x="233"/>
        <item x="278"/>
        <item x="26"/>
        <item x="71"/>
        <item x="116"/>
        <item x="161"/>
        <item x="206"/>
        <item x="251"/>
        <item x="296"/>
        <item x="5"/>
        <item x="50"/>
        <item x="95"/>
        <item x="140"/>
        <item x="185"/>
        <item x="230"/>
        <item x="275"/>
        <item x="17"/>
        <item x="62"/>
        <item x="107"/>
        <item x="152"/>
        <item x="197"/>
        <item x="242"/>
        <item x="287"/>
        <item x="41"/>
        <item x="86"/>
        <item x="131"/>
        <item x="176"/>
        <item x="221"/>
        <item x="266"/>
        <item x="2"/>
        <item x="47"/>
        <item x="92"/>
        <item x="137"/>
        <item x="182"/>
        <item x="227"/>
        <item x="272"/>
        <item x="11"/>
        <item x="56"/>
        <item x="101"/>
        <item x="146"/>
        <item x="191"/>
        <item x="236"/>
        <item x="281"/>
        <item x="32"/>
        <item x="77"/>
        <item x="122"/>
        <item x="167"/>
        <item x="212"/>
        <item x="257"/>
        <item x="38"/>
        <item x="83"/>
        <item x="128"/>
        <item x="173"/>
        <item x="218"/>
        <item x="263"/>
        <item x="35"/>
        <item x="80"/>
        <item x="125"/>
        <item x="170"/>
        <item x="215"/>
        <item x="260"/>
        <item t="default"/>
      </items>
    </pivotField>
    <pivotField axis="axisPage" showAll="0">
      <items count="4">
        <item x="1"/>
        <item x="0"/>
        <item x="2"/>
        <item t="default"/>
      </items>
    </pivotField>
    <pivotField showAll="0">
      <items count="9">
        <item x="2"/>
        <item h="1" x="0"/>
        <item h="1" x="1"/>
        <item h="1" x="7"/>
        <item h="1" x="6"/>
        <item h="1" x="4"/>
        <item h="1" x="3"/>
        <item h="1" x="5"/>
        <item t="default"/>
      </items>
    </pivotField>
    <pivotField showAll="0">
      <items count="42">
        <item x="10"/>
        <item x="23"/>
        <item x="19"/>
        <item x="34"/>
        <item x="1"/>
        <item x="2"/>
        <item x="25"/>
        <item x="6"/>
        <item x="27"/>
        <item x="11"/>
        <item x="15"/>
        <item x="21"/>
        <item x="0"/>
        <item x="8"/>
        <item x="37"/>
        <item x="22"/>
        <item x="20"/>
        <item x="16"/>
        <item x="9"/>
        <item x="33"/>
        <item x="40"/>
        <item x="17"/>
        <item x="28"/>
        <item x="7"/>
        <item x="3"/>
        <item x="14"/>
        <item x="4"/>
        <item x="29"/>
        <item x="5"/>
        <item x="39"/>
        <item x="35"/>
        <item x="26"/>
        <item x="13"/>
        <item x="36"/>
        <item x="30"/>
        <item x="18"/>
        <item x="32"/>
        <item x="31"/>
        <item x="24"/>
        <item x="38"/>
        <item x="12"/>
        <item t="default"/>
      </items>
    </pivotField>
    <pivotField showAll="0">
      <items count="90">
        <item x="74"/>
        <item x="25"/>
        <item x="65"/>
        <item x="9"/>
        <item x="43"/>
        <item x="59"/>
        <item x="10"/>
        <item x="71"/>
        <item x="55"/>
        <item x="20"/>
        <item x="39"/>
        <item x="76"/>
        <item x="87"/>
        <item x="49"/>
        <item x="70"/>
        <item x="61"/>
        <item x="47"/>
        <item x="35"/>
        <item x="57"/>
        <item x="30"/>
        <item x="81"/>
        <item x="0"/>
        <item x="73"/>
        <item x="15"/>
        <item x="27"/>
        <item x="5"/>
        <item x="80"/>
        <item x="48"/>
        <item x="4"/>
        <item x="3"/>
        <item x="17"/>
        <item x="72"/>
        <item x="31"/>
        <item x="52"/>
        <item x="50"/>
        <item x="66"/>
        <item x="82"/>
        <item x="40"/>
        <item x="24"/>
        <item x="16"/>
        <item x="37"/>
        <item x="54"/>
        <item x="68"/>
        <item x="62"/>
        <item x="46"/>
        <item x="60"/>
        <item x="75"/>
        <item x="34"/>
        <item x="28"/>
        <item x="1"/>
        <item x="78"/>
        <item x="14"/>
        <item x="22"/>
        <item x="36"/>
        <item x="11"/>
        <item x="67"/>
        <item x="23"/>
        <item x="77"/>
        <item x="33"/>
        <item x="85"/>
        <item x="41"/>
        <item x="84"/>
        <item x="21"/>
        <item x="53"/>
        <item x="45"/>
        <item x="7"/>
        <item x="44"/>
        <item x="64"/>
        <item x="42"/>
        <item x="8"/>
        <item x="51"/>
        <item x="58"/>
        <item x="83"/>
        <item x="29"/>
        <item x="86"/>
        <item x="38"/>
        <item x="12"/>
        <item x="88"/>
        <item x="32"/>
        <item x="18"/>
        <item x="79"/>
        <item x="13"/>
        <item x="56"/>
        <item x="69"/>
        <item x="63"/>
        <item x="19"/>
        <item x="26"/>
        <item x="6"/>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7">
    <i>
      <x v="2"/>
    </i>
    <i>
      <x v="4"/>
    </i>
    <i>
      <x v="6"/>
    </i>
    <i>
      <x v="7"/>
    </i>
    <i>
      <x v="8"/>
    </i>
    <i>
      <x v="9"/>
    </i>
    <i t="grand">
      <x/>
    </i>
  </rowItems>
  <colItems count="1">
    <i/>
  </colItems>
  <pageFields count="1">
    <pageField fld="10" item="0" hier="-1"/>
  </pageFields>
  <dataFields count="1">
    <dataField name="Count of Task ID" fld="8" subtotal="count" baseField="0" baseItem="0"/>
  </dataFields>
  <formats count="3">
    <format dxfId="14">
      <pivotArea type="all" dataOnly="0" outline="0" fieldPosition="0"/>
    </format>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B36B74-6B05-4D6D-839D-81551478C464}" name="PivotTable3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6">
  <location ref="A19:B24" firstHeaderRow="1" firstDataRow="1" firstDataCol="1"/>
  <pivotFields count="20">
    <pivotField dataField="1" showAll="0"/>
    <pivotField showAll="0"/>
    <pivotField showAll="0">
      <items count="7">
        <item x="2"/>
        <item x="3"/>
        <item x="1"/>
        <item x="4"/>
        <item x="5"/>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axis="axisRow" showAll="0" sortType="a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v="2"/>
    </i>
    <i>
      <x v="1"/>
    </i>
    <i>
      <x/>
    </i>
    <i>
      <x v="3"/>
    </i>
    <i t="grand">
      <x/>
    </i>
  </rowItems>
  <colItems count="1">
    <i/>
  </colItems>
  <dataFields count="1">
    <dataField name="Count of Project ID" fld="0" subtotal="count" baseField="0" baseItem="0"/>
  </dataFields>
  <formats count="3">
    <format dxfId="17">
      <pivotArea type="all" dataOnly="0" outline="0" fieldPosition="0"/>
    </format>
    <format dxfId="16">
      <pivotArea dataOnly="0" labelOnly="1" outline="0" axis="axisValues" fieldPosition="0"/>
    </format>
    <format dxfId="15">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DB7E1B-46B5-449C-AD50-C5D3BD243A36}" name="PivotTable5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6">
  <location ref="E54:I68" firstHeaderRow="1" firstDataRow="2"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dataField="1" showAll="0" sortType="ascending">
      <items count="4">
        <item x="0"/>
        <item x="1"/>
        <item x="2"/>
        <item t="default"/>
      </items>
    </pivotField>
    <pivotField showAll="0">
      <items count="301">
        <item x="27"/>
        <item x="72"/>
        <item x="117"/>
        <item x="162"/>
        <item x="207"/>
        <item x="252"/>
        <item x="297"/>
        <item x="18"/>
        <item x="63"/>
        <item x="108"/>
        <item x="153"/>
        <item x="198"/>
        <item x="243"/>
        <item x="288"/>
        <item x="12"/>
        <item x="57"/>
        <item x="102"/>
        <item x="147"/>
        <item x="192"/>
        <item x="237"/>
        <item x="282"/>
        <item x="42"/>
        <item x="87"/>
        <item x="132"/>
        <item x="177"/>
        <item x="222"/>
        <item x="267"/>
        <item x="21"/>
        <item x="66"/>
        <item x="111"/>
        <item x="156"/>
        <item x="201"/>
        <item x="246"/>
        <item x="291"/>
        <item x="6"/>
        <item x="51"/>
        <item x="96"/>
        <item x="141"/>
        <item x="186"/>
        <item x="231"/>
        <item x="276"/>
        <item x="24"/>
        <item x="69"/>
        <item x="114"/>
        <item x="159"/>
        <item x="204"/>
        <item x="249"/>
        <item x="294"/>
        <item x="3"/>
        <item x="48"/>
        <item x="93"/>
        <item x="138"/>
        <item x="183"/>
        <item x="228"/>
        <item x="273"/>
        <item x="15"/>
        <item x="60"/>
        <item x="105"/>
        <item x="150"/>
        <item x="195"/>
        <item x="240"/>
        <item x="285"/>
        <item x="39"/>
        <item x="84"/>
        <item x="129"/>
        <item x="174"/>
        <item x="219"/>
        <item x="264"/>
        <item x="0"/>
        <item x="45"/>
        <item x="90"/>
        <item x="135"/>
        <item x="180"/>
        <item x="225"/>
        <item x="270"/>
        <item x="9"/>
        <item x="54"/>
        <item x="99"/>
        <item x="144"/>
        <item x="189"/>
        <item x="234"/>
        <item x="279"/>
        <item x="30"/>
        <item x="75"/>
        <item x="120"/>
        <item x="165"/>
        <item x="210"/>
        <item x="255"/>
        <item x="36"/>
        <item x="81"/>
        <item x="126"/>
        <item x="171"/>
        <item x="216"/>
        <item x="261"/>
        <item x="33"/>
        <item x="78"/>
        <item x="123"/>
        <item x="168"/>
        <item x="213"/>
        <item x="258"/>
        <item x="28"/>
        <item x="73"/>
        <item x="118"/>
        <item x="163"/>
        <item x="208"/>
        <item x="253"/>
        <item x="298"/>
        <item x="19"/>
        <item x="64"/>
        <item x="109"/>
        <item x="154"/>
        <item x="199"/>
        <item x="244"/>
        <item x="289"/>
        <item x="13"/>
        <item x="58"/>
        <item x="103"/>
        <item x="148"/>
        <item x="193"/>
        <item x="238"/>
        <item x="283"/>
        <item x="43"/>
        <item x="88"/>
        <item x="133"/>
        <item x="178"/>
        <item x="223"/>
        <item x="268"/>
        <item x="22"/>
        <item x="67"/>
        <item x="112"/>
        <item x="157"/>
        <item x="202"/>
        <item x="247"/>
        <item x="292"/>
        <item x="7"/>
        <item x="52"/>
        <item x="97"/>
        <item x="142"/>
        <item x="187"/>
        <item x="232"/>
        <item x="277"/>
        <item x="25"/>
        <item x="70"/>
        <item x="115"/>
        <item x="160"/>
        <item x="205"/>
        <item x="250"/>
        <item x="295"/>
        <item x="4"/>
        <item x="49"/>
        <item x="94"/>
        <item x="139"/>
        <item x="184"/>
        <item x="229"/>
        <item x="274"/>
        <item x="16"/>
        <item x="61"/>
        <item x="106"/>
        <item x="151"/>
        <item x="196"/>
        <item x="241"/>
        <item x="286"/>
        <item x="40"/>
        <item x="85"/>
        <item x="130"/>
        <item x="175"/>
        <item x="220"/>
        <item x="265"/>
        <item x="1"/>
        <item x="46"/>
        <item x="91"/>
        <item x="136"/>
        <item x="181"/>
        <item x="226"/>
        <item x="271"/>
        <item x="10"/>
        <item x="55"/>
        <item x="100"/>
        <item x="145"/>
        <item x="190"/>
        <item x="235"/>
        <item x="280"/>
        <item x="31"/>
        <item x="76"/>
        <item x="121"/>
        <item x="166"/>
        <item x="211"/>
        <item x="256"/>
        <item x="37"/>
        <item x="82"/>
        <item x="127"/>
        <item x="172"/>
        <item x="217"/>
        <item x="262"/>
        <item x="34"/>
        <item x="79"/>
        <item x="124"/>
        <item x="169"/>
        <item x="214"/>
        <item x="259"/>
        <item x="29"/>
        <item x="74"/>
        <item x="119"/>
        <item x="164"/>
        <item x="209"/>
        <item x="254"/>
        <item x="299"/>
        <item x="20"/>
        <item x="65"/>
        <item x="110"/>
        <item x="155"/>
        <item x="200"/>
        <item x="245"/>
        <item x="290"/>
        <item x="14"/>
        <item x="59"/>
        <item x="104"/>
        <item x="149"/>
        <item x="194"/>
        <item x="239"/>
        <item x="284"/>
        <item x="44"/>
        <item x="89"/>
        <item x="134"/>
        <item x="179"/>
        <item x="224"/>
        <item x="269"/>
        <item x="23"/>
        <item x="68"/>
        <item x="113"/>
        <item x="158"/>
        <item x="203"/>
        <item x="248"/>
        <item x="293"/>
        <item x="8"/>
        <item x="53"/>
        <item x="98"/>
        <item x="143"/>
        <item x="188"/>
        <item x="233"/>
        <item x="278"/>
        <item x="26"/>
        <item x="71"/>
        <item x="116"/>
        <item x="161"/>
        <item x="206"/>
        <item x="251"/>
        <item x="296"/>
        <item x="5"/>
        <item x="50"/>
        <item x="95"/>
        <item x="140"/>
        <item x="185"/>
        <item x="230"/>
        <item x="275"/>
        <item x="17"/>
        <item x="62"/>
        <item x="107"/>
        <item x="152"/>
        <item x="197"/>
        <item x="242"/>
        <item x="287"/>
        <item x="41"/>
        <item x="86"/>
        <item x="131"/>
        <item x="176"/>
        <item x="221"/>
        <item x="266"/>
        <item x="2"/>
        <item x="47"/>
        <item x="92"/>
        <item x="137"/>
        <item x="182"/>
        <item x="227"/>
        <item x="272"/>
        <item x="11"/>
        <item x="56"/>
        <item x="101"/>
        <item x="146"/>
        <item x="191"/>
        <item x="236"/>
        <item x="281"/>
        <item x="32"/>
        <item x="77"/>
        <item x="122"/>
        <item x="167"/>
        <item x="212"/>
        <item x="257"/>
        <item x="38"/>
        <item x="83"/>
        <item x="128"/>
        <item x="173"/>
        <item x="218"/>
        <item x="263"/>
        <item x="35"/>
        <item x="80"/>
        <item x="125"/>
        <item x="170"/>
        <item x="215"/>
        <item x="260"/>
        <item t="default"/>
      </items>
    </pivotField>
    <pivotField axis="axisCol" showAll="0">
      <items count="4">
        <item x="1"/>
        <item x="0"/>
        <item x="2"/>
        <item t="default"/>
      </items>
    </pivotField>
    <pivotField showAll="0">
      <items count="9">
        <item x="2"/>
        <item h="1" x="0"/>
        <item h="1" x="1"/>
        <item h="1" x="7"/>
        <item h="1" x="6"/>
        <item h="1" x="4"/>
        <item h="1" x="3"/>
        <item h="1" x="5"/>
        <item t="default"/>
      </items>
    </pivotField>
    <pivotField showAll="0">
      <items count="42">
        <item x="10"/>
        <item x="23"/>
        <item x="19"/>
        <item x="34"/>
        <item x="1"/>
        <item x="2"/>
        <item x="25"/>
        <item x="6"/>
        <item x="27"/>
        <item x="11"/>
        <item x="15"/>
        <item x="21"/>
        <item x="0"/>
        <item x="8"/>
        <item x="37"/>
        <item x="22"/>
        <item x="20"/>
        <item x="16"/>
        <item x="9"/>
        <item x="33"/>
        <item x="40"/>
        <item x="17"/>
        <item x="28"/>
        <item x="7"/>
        <item x="3"/>
        <item x="14"/>
        <item x="4"/>
        <item x="29"/>
        <item x="5"/>
        <item x="39"/>
        <item x="35"/>
        <item x="26"/>
        <item x="13"/>
        <item x="36"/>
        <item x="30"/>
        <item x="18"/>
        <item x="32"/>
        <item x="31"/>
        <item x="24"/>
        <item x="38"/>
        <item x="12"/>
        <item t="default"/>
      </items>
    </pivotField>
    <pivotField showAll="0">
      <items count="90">
        <item x="74"/>
        <item x="25"/>
        <item x="65"/>
        <item x="9"/>
        <item x="43"/>
        <item x="59"/>
        <item x="10"/>
        <item x="71"/>
        <item x="55"/>
        <item x="20"/>
        <item x="39"/>
        <item x="76"/>
        <item x="87"/>
        <item x="49"/>
        <item x="70"/>
        <item x="61"/>
        <item x="47"/>
        <item x="35"/>
        <item x="57"/>
        <item x="30"/>
        <item x="81"/>
        <item x="0"/>
        <item x="73"/>
        <item x="15"/>
        <item x="27"/>
        <item x="5"/>
        <item x="80"/>
        <item x="48"/>
        <item x="4"/>
        <item x="3"/>
        <item x="17"/>
        <item x="72"/>
        <item x="31"/>
        <item x="52"/>
        <item x="50"/>
        <item x="66"/>
        <item x="82"/>
        <item x="40"/>
        <item x="24"/>
        <item x="16"/>
        <item x="37"/>
        <item x="54"/>
        <item x="68"/>
        <item x="62"/>
        <item x="46"/>
        <item x="60"/>
        <item x="75"/>
        <item x="34"/>
        <item x="28"/>
        <item x="1"/>
        <item x="78"/>
        <item x="14"/>
        <item x="22"/>
        <item x="36"/>
        <item x="11"/>
        <item x="67"/>
        <item x="23"/>
        <item x="77"/>
        <item x="33"/>
        <item x="85"/>
        <item x="41"/>
        <item x="84"/>
        <item x="21"/>
        <item x="53"/>
        <item x="45"/>
        <item x="7"/>
        <item x="44"/>
        <item x="64"/>
        <item x="42"/>
        <item x="8"/>
        <item x="51"/>
        <item x="58"/>
        <item x="83"/>
        <item x="29"/>
        <item x="86"/>
        <item x="38"/>
        <item x="12"/>
        <item x="88"/>
        <item x="32"/>
        <item x="18"/>
        <item x="79"/>
        <item x="13"/>
        <item x="56"/>
        <item x="69"/>
        <item x="63"/>
        <item x="19"/>
        <item x="26"/>
        <item x="6"/>
        <item x="2"/>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3">
    <i>
      <x v="1"/>
    </i>
    <i>
      <x v="2"/>
    </i>
    <i>
      <x v="3"/>
    </i>
    <i>
      <x v="4"/>
    </i>
    <i>
      <x v="5"/>
    </i>
    <i>
      <x v="6"/>
    </i>
    <i>
      <x v="7"/>
    </i>
    <i>
      <x v="8"/>
    </i>
    <i>
      <x v="9"/>
    </i>
    <i>
      <x v="10"/>
    </i>
    <i>
      <x v="11"/>
    </i>
    <i>
      <x v="12"/>
    </i>
    <i t="grand">
      <x/>
    </i>
  </rowItems>
  <colFields count="1">
    <field x="10"/>
  </colFields>
  <colItems count="4">
    <i>
      <x/>
    </i>
    <i>
      <x v="1"/>
    </i>
    <i>
      <x v="2"/>
    </i>
    <i t="grand">
      <x/>
    </i>
  </colItems>
  <dataFields count="1">
    <dataField name="Count of Task ID" fld="8" subtotal="count" baseField="0" baseItem="0"/>
  </dataFields>
  <formats count="3">
    <format dxfId="20">
      <pivotArea type="all" dataOnly="0" outline="0" fieldPosition="0"/>
    </format>
    <format dxfId="19">
      <pivotArea dataOnly="0" labelOnly="1" outline="0" axis="axisValues" fieldPosition="0"/>
    </format>
    <format dxfId="18">
      <pivotArea outline="0" collapsedLevelsAreSubtotals="1" fieldPosition="0"/>
    </format>
  </formats>
  <chartFormats count="3">
    <chartFormat chart="34" format="3" series="1">
      <pivotArea type="data" outline="0" fieldPosition="0">
        <references count="2">
          <reference field="4294967294" count="1" selected="0">
            <x v="0"/>
          </reference>
          <reference field="10" count="1" selected="0">
            <x v="0"/>
          </reference>
        </references>
      </pivotArea>
    </chartFormat>
    <chartFormat chart="34" format="4" series="1">
      <pivotArea type="data" outline="0" fieldPosition="0">
        <references count="2">
          <reference field="4294967294" count="1" selected="0">
            <x v="0"/>
          </reference>
          <reference field="10" count="1" selected="0">
            <x v="1"/>
          </reference>
        </references>
      </pivotArea>
    </chartFormat>
    <chartFormat chart="34" format="5"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FBFCE3-81B4-4103-98A3-0DF816337CCD}" name="PivotTable3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5:B6" firstHeaderRow="0" firstDataRow="1" firstDataCol="0"/>
  <pivotFields count="20">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2"/>
        <item h="1" x="0"/>
        <item h="1" x="1"/>
        <item h="1" x="7"/>
        <item h="1" x="6"/>
        <item h="1" x="4"/>
        <item h="1" x="3"/>
        <item h="1" x="5"/>
        <item t="default"/>
      </items>
    </pivotField>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Sum of Budget" fld="14" baseField="0" baseItem="0" numFmtId="164"/>
    <dataField name="Sum of Actual Cost" fld="15" baseField="0" baseItem="0"/>
  </dataFields>
  <formats count="4">
    <format dxfId="24">
      <pivotArea type="all" dataOnly="0" outline="0" fieldPosition="0"/>
    </format>
    <format dxfId="23">
      <pivotArea outline="0" collapsedLevelsAreSubtotals="1" fieldPosition="0"/>
    </format>
    <format dxfId="22">
      <pivotArea dataOnly="0" labelOnly="1" outline="0" axis="axisValues" fieldPosition="0"/>
    </format>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206C2D-C292-4DD4-A78A-0A401CFCDFA5}" name="PivotTable4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5">
  <location ref="A53:B57" firstHeaderRow="1" firstDataRow="1"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axis="axisRow" showAll="0">
      <items count="4">
        <item x="0"/>
        <item x="1"/>
        <item x="2"/>
        <item t="default"/>
      </items>
    </pivotField>
    <pivotField showAll="0">
      <items count="301">
        <item x="27"/>
        <item x="72"/>
        <item x="117"/>
        <item x="162"/>
        <item x="207"/>
        <item x="252"/>
        <item x="297"/>
        <item x="18"/>
        <item x="63"/>
        <item x="108"/>
        <item x="153"/>
        <item x="198"/>
        <item x="243"/>
        <item x="288"/>
        <item x="12"/>
        <item x="57"/>
        <item x="102"/>
        <item x="147"/>
        <item x="192"/>
        <item x="237"/>
        <item x="282"/>
        <item x="42"/>
        <item x="87"/>
        <item x="132"/>
        <item x="177"/>
        <item x="222"/>
        <item x="267"/>
        <item x="21"/>
        <item x="66"/>
        <item x="111"/>
        <item x="156"/>
        <item x="201"/>
        <item x="246"/>
        <item x="291"/>
        <item x="6"/>
        <item x="51"/>
        <item x="96"/>
        <item x="141"/>
        <item x="186"/>
        <item x="231"/>
        <item x="276"/>
        <item x="24"/>
        <item x="69"/>
        <item x="114"/>
        <item x="159"/>
        <item x="204"/>
        <item x="249"/>
        <item x="294"/>
        <item x="3"/>
        <item x="48"/>
        <item x="93"/>
        <item x="138"/>
        <item x="183"/>
        <item x="228"/>
        <item x="273"/>
        <item x="15"/>
        <item x="60"/>
        <item x="105"/>
        <item x="150"/>
        <item x="195"/>
        <item x="240"/>
        <item x="285"/>
        <item x="39"/>
        <item x="84"/>
        <item x="129"/>
        <item x="174"/>
        <item x="219"/>
        <item x="264"/>
        <item x="0"/>
        <item x="45"/>
        <item x="90"/>
        <item x="135"/>
        <item x="180"/>
        <item x="225"/>
        <item x="270"/>
        <item x="9"/>
        <item x="54"/>
        <item x="99"/>
        <item x="144"/>
        <item x="189"/>
        <item x="234"/>
        <item x="279"/>
        <item x="30"/>
        <item x="75"/>
        <item x="120"/>
        <item x="165"/>
        <item x="210"/>
        <item x="255"/>
        <item x="36"/>
        <item x="81"/>
        <item x="126"/>
        <item x="171"/>
        <item x="216"/>
        <item x="261"/>
        <item x="33"/>
        <item x="78"/>
        <item x="123"/>
        <item x="168"/>
        <item x="213"/>
        <item x="258"/>
        <item x="28"/>
        <item x="73"/>
        <item x="118"/>
        <item x="163"/>
        <item x="208"/>
        <item x="253"/>
        <item x="298"/>
        <item x="19"/>
        <item x="64"/>
        <item x="109"/>
        <item x="154"/>
        <item x="199"/>
        <item x="244"/>
        <item x="289"/>
        <item x="13"/>
        <item x="58"/>
        <item x="103"/>
        <item x="148"/>
        <item x="193"/>
        <item x="238"/>
        <item x="283"/>
        <item x="43"/>
        <item x="88"/>
        <item x="133"/>
        <item x="178"/>
        <item x="223"/>
        <item x="268"/>
        <item x="22"/>
        <item x="67"/>
        <item x="112"/>
        <item x="157"/>
        <item x="202"/>
        <item x="247"/>
        <item x="292"/>
        <item x="7"/>
        <item x="52"/>
        <item x="97"/>
        <item x="142"/>
        <item x="187"/>
        <item x="232"/>
        <item x="277"/>
        <item x="25"/>
        <item x="70"/>
        <item x="115"/>
        <item x="160"/>
        <item x="205"/>
        <item x="250"/>
        <item x="295"/>
        <item x="4"/>
        <item x="49"/>
        <item x="94"/>
        <item x="139"/>
        <item x="184"/>
        <item x="229"/>
        <item x="274"/>
        <item x="16"/>
        <item x="61"/>
        <item x="106"/>
        <item x="151"/>
        <item x="196"/>
        <item x="241"/>
        <item x="286"/>
        <item x="40"/>
        <item x="85"/>
        <item x="130"/>
        <item x="175"/>
        <item x="220"/>
        <item x="265"/>
        <item x="1"/>
        <item x="46"/>
        <item x="91"/>
        <item x="136"/>
        <item x="181"/>
        <item x="226"/>
        <item x="271"/>
        <item x="10"/>
        <item x="55"/>
        <item x="100"/>
        <item x="145"/>
        <item x="190"/>
        <item x="235"/>
        <item x="280"/>
        <item x="31"/>
        <item x="76"/>
        <item x="121"/>
        <item x="166"/>
        <item x="211"/>
        <item x="256"/>
        <item x="37"/>
        <item x="82"/>
        <item x="127"/>
        <item x="172"/>
        <item x="217"/>
        <item x="262"/>
        <item x="34"/>
        <item x="79"/>
        <item x="124"/>
        <item x="169"/>
        <item x="214"/>
        <item x="259"/>
        <item x="29"/>
        <item x="74"/>
        <item x="119"/>
        <item x="164"/>
        <item x="209"/>
        <item x="254"/>
        <item x="299"/>
        <item x="20"/>
        <item x="65"/>
        <item x="110"/>
        <item x="155"/>
        <item x="200"/>
        <item x="245"/>
        <item x="290"/>
        <item x="14"/>
        <item x="59"/>
        <item x="104"/>
        <item x="149"/>
        <item x="194"/>
        <item x="239"/>
        <item x="284"/>
        <item x="44"/>
        <item x="89"/>
        <item x="134"/>
        <item x="179"/>
        <item x="224"/>
        <item x="269"/>
        <item x="23"/>
        <item x="68"/>
        <item x="113"/>
        <item x="158"/>
        <item x="203"/>
        <item x="248"/>
        <item x="293"/>
        <item x="8"/>
        <item x="53"/>
        <item x="98"/>
        <item x="143"/>
        <item x="188"/>
        <item x="233"/>
        <item x="278"/>
        <item x="26"/>
        <item x="71"/>
        <item x="116"/>
        <item x="161"/>
        <item x="206"/>
        <item x="251"/>
        <item x="296"/>
        <item x="5"/>
        <item x="50"/>
        <item x="95"/>
        <item x="140"/>
        <item x="185"/>
        <item x="230"/>
        <item x="275"/>
        <item x="17"/>
        <item x="62"/>
        <item x="107"/>
        <item x="152"/>
        <item x="197"/>
        <item x="242"/>
        <item x="287"/>
        <item x="41"/>
        <item x="86"/>
        <item x="131"/>
        <item x="176"/>
        <item x="221"/>
        <item x="266"/>
        <item x="2"/>
        <item x="47"/>
        <item x="92"/>
        <item x="137"/>
        <item x="182"/>
        <item x="227"/>
        <item x="272"/>
        <item x="11"/>
        <item x="56"/>
        <item x="101"/>
        <item x="146"/>
        <item x="191"/>
        <item x="236"/>
        <item x="281"/>
        <item x="32"/>
        <item x="77"/>
        <item x="122"/>
        <item x="167"/>
        <item x="212"/>
        <item x="257"/>
        <item x="38"/>
        <item x="83"/>
        <item x="128"/>
        <item x="173"/>
        <item x="218"/>
        <item x="263"/>
        <item x="35"/>
        <item x="80"/>
        <item x="125"/>
        <item x="170"/>
        <item x="215"/>
        <item x="260"/>
        <item t="default"/>
      </items>
    </pivotField>
    <pivotField showAll="0">
      <items count="4">
        <item x="1"/>
        <item x="0"/>
        <item x="2"/>
        <item t="default"/>
      </items>
    </pivotField>
    <pivotField showAll="0">
      <items count="9">
        <item x="2"/>
        <item h="1" x="0"/>
        <item h="1" x="1"/>
        <item h="1" x="7"/>
        <item h="1" x="6"/>
        <item h="1" x="4"/>
        <item h="1" x="3"/>
        <item h="1" x="5"/>
        <item t="default"/>
      </items>
    </pivotField>
    <pivotField dataField="1" showAll="0">
      <items count="42">
        <item x="10"/>
        <item x="23"/>
        <item x="19"/>
        <item x="34"/>
        <item x="1"/>
        <item x="2"/>
        <item x="25"/>
        <item x="6"/>
        <item x="27"/>
        <item x="11"/>
        <item x="15"/>
        <item x="21"/>
        <item x="0"/>
        <item x="8"/>
        <item x="37"/>
        <item x="22"/>
        <item x="20"/>
        <item x="16"/>
        <item x="9"/>
        <item x="33"/>
        <item x="40"/>
        <item x="17"/>
        <item x="28"/>
        <item x="7"/>
        <item x="3"/>
        <item x="14"/>
        <item x="4"/>
        <item x="29"/>
        <item x="5"/>
        <item x="39"/>
        <item x="35"/>
        <item x="26"/>
        <item x="13"/>
        <item x="36"/>
        <item x="30"/>
        <item x="18"/>
        <item x="32"/>
        <item x="31"/>
        <item x="24"/>
        <item x="38"/>
        <item x="12"/>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Sum of Hours Spent" fld="12" baseField="0" baseItem="0" numFmtId="168"/>
  </dataFields>
  <formats count="3">
    <format dxfId="27">
      <pivotArea type="all" dataOnly="0" outline="0" fieldPosition="0"/>
    </format>
    <format dxfId="26">
      <pivotArea dataOnly="0" labelOnly="1" outline="0" axis="axisValues" fieldPosition="0"/>
    </format>
    <format dxfId="25">
      <pivotArea outline="0" collapsedLevelsAreSubtotals="1" fieldPosition="0"/>
    </format>
  </formats>
  <chartFormats count="1">
    <chartFormat chart="4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1F022BA-3666-46A5-B6CB-54D7595C547F}" name="PivotTable3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3">
  <location ref="E9:F13" firstHeaderRow="1" firstDataRow="1" firstDataCol="1"/>
  <pivotFields count="20">
    <pivotField dataField="1" showAll="0"/>
    <pivotField showAll="0"/>
    <pivotField showAll="0">
      <items count="7">
        <item x="2"/>
        <item x="3"/>
        <item x="1"/>
        <item x="4"/>
        <item x="5"/>
        <item x="0"/>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axis="axisRow" showAll="0">
      <items count="4">
        <item x="1"/>
        <item x="2"/>
        <item x="0"/>
        <item t="default"/>
      </items>
    </pivotField>
    <pivotField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Count of Project ID" fld="0" subtotal="count" baseField="0" baseItem="0"/>
  </dataFields>
  <formats count="3">
    <format dxfId="30">
      <pivotArea type="all" dataOnly="0" outline="0" fieldPosition="0"/>
    </format>
    <format dxfId="29">
      <pivotArea dataOnly="0" labelOnly="1" outline="0" axis="axisValues" fieldPosition="0"/>
    </format>
    <format dxfId="28">
      <pivotArea outline="0" collapsedLevelsAreSubtotals="1" fieldPosition="0"/>
    </format>
  </formats>
  <chartFormats count="4">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0" format="4">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0193607-DFFC-414A-AF39-410C94F4DB1A}" name="PivotTable4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location ref="C2:C3" firstHeaderRow="1" firstDataRow="1" firstDataCol="0"/>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dataField="1" showAll="0"/>
    <pivotField showAll="0"/>
    <pivotField showAll="0"/>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Task ID" fld="8" subtotal="count" baseField="0" baseItem="0"/>
  </dataFields>
  <formats count="3">
    <format dxfId="33">
      <pivotArea type="all" dataOnly="0" outline="0" fieldPosition="0"/>
    </format>
    <format dxfId="32">
      <pivotArea dataOnly="0" labelOnly="1" outline="0" axis="axisValues"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2D5143-DB6D-4556-BB7E-06B5BC3A6066}" name="PivotTable4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9">
  <location ref="A39:B43" firstHeaderRow="1" firstDataRow="1"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dataField="1" showAll="0"/>
    <pivotField showAll="0"/>
    <pivotField axis="axisRow" showAll="0">
      <items count="4">
        <item x="1"/>
        <item x="0"/>
        <item x="2"/>
        <item t="default"/>
      </items>
    </pivotField>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Count of Task ID" fld="8" subtotal="count" baseField="0" baseItem="0"/>
  </dataFields>
  <formats count="3">
    <format dxfId="36">
      <pivotArea type="all" dataOnly="0" outline="0" fieldPosition="0"/>
    </format>
    <format dxfId="35">
      <pivotArea dataOnly="0" labelOnly="1" outline="0" axis="axisValues"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C6462D5-A395-4893-84B6-9711667E697F}" name="PivotTable4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A46:B50" firstHeaderRow="1" firstDataRow="1"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dataField="1" showAll="0"/>
    <pivotField showAll="0"/>
    <pivotField axis="axisRow" showAll="0">
      <items count="4">
        <item x="1"/>
        <item x="0"/>
        <item x="2"/>
        <item t="default"/>
      </items>
    </pivotField>
    <pivotField showAll="0">
      <items count="9">
        <item x="2"/>
        <item h="1" x="0"/>
        <item h="1" x="1"/>
        <item h="1" x="7"/>
        <item h="1" x="6"/>
        <item h="1" x="4"/>
        <item h="1" x="3"/>
        <item h="1" x="5"/>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t="grand">
      <x/>
    </i>
  </rowItems>
  <colItems count="1">
    <i/>
  </colItems>
  <dataFields count="1">
    <dataField name="Count of Task ID" fld="8" subtotal="count" baseField="0" baseItem="0"/>
  </dataFields>
  <formats count="3">
    <format dxfId="39">
      <pivotArea type="all" dataOnly="0" outline="0" fieldPosition="0"/>
    </format>
    <format dxfId="38">
      <pivotArea dataOnly="0" labelOnly="1" outline="0" axis="axisValues" fieldPosition="0"/>
    </format>
    <format dxfId="37">
      <pivotArea outline="0" collapsedLevelsAreSubtotals="1" fieldPosition="0"/>
    </format>
  </formats>
  <chartFormats count="4">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10" count="1" selected="0">
            <x v="0"/>
          </reference>
        </references>
      </pivotArea>
    </chartFormat>
    <chartFormat chart="26" format="3">
      <pivotArea type="data" outline="0" fieldPosition="0">
        <references count="2">
          <reference field="4294967294" count="1" selected="0">
            <x v="0"/>
          </reference>
          <reference field="10" count="1" selected="0">
            <x v="1"/>
          </reference>
        </references>
      </pivotArea>
    </chartFormat>
    <chartFormat chart="26"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1C764E-0BBA-4B78-898C-126D733430E1}" name="PivotTable3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A27:C36" firstHeaderRow="0" firstDataRow="1" firstDataCol="1"/>
  <pivotFields count="20">
    <pivotField showAll="0"/>
    <pivotField showAll="0"/>
    <pivotField showAll="0">
      <items count="7">
        <item x="2"/>
        <item x="3"/>
        <item x="1"/>
        <item x="4"/>
        <item x="5"/>
        <item x="0"/>
        <item t="default"/>
      </items>
    </pivotField>
    <pivotField showAll="0">
      <items count="14">
        <item x="5"/>
        <item x="9"/>
        <item x="12"/>
        <item x="10"/>
        <item x="7"/>
        <item x="1"/>
        <item x="4"/>
        <item x="8"/>
        <item x="2"/>
        <item x="3"/>
        <item x="0"/>
        <item x="6"/>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items count="4">
        <item x="1"/>
        <item x="2"/>
        <item x="0"/>
        <item t="default"/>
      </items>
    </pivotField>
    <pivotField showAll="0"/>
    <pivotField showAll="0"/>
    <pivotField showAll="0"/>
    <pivotField showAll="0">
      <items count="9">
        <item h="1" x="2"/>
        <item h="1" x="0"/>
        <item h="1" x="1"/>
        <item h="1" x="7"/>
        <item x="6"/>
        <item h="1" x="4"/>
        <item h="1" x="3"/>
        <item h="1" x="5"/>
        <item t="default"/>
      </items>
    </pivotField>
    <pivotField showAll="0"/>
    <pivotField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9">
    <i>
      <x v="1"/>
    </i>
    <i>
      <x v="2"/>
    </i>
    <i>
      <x v="3"/>
    </i>
    <i>
      <x v="4"/>
    </i>
    <i>
      <x v="5"/>
    </i>
    <i>
      <x v="6"/>
    </i>
    <i>
      <x v="7"/>
    </i>
    <i>
      <x v="8"/>
    </i>
    <i t="grand">
      <x/>
    </i>
  </rowItems>
  <colFields count="1">
    <field x="-2"/>
  </colFields>
  <colItems count="2">
    <i>
      <x/>
    </i>
    <i i="1">
      <x v="1"/>
    </i>
  </colItems>
  <dataFields count="2">
    <dataField name="Sum of Budget" fld="14" baseField="0" baseItem="0"/>
    <dataField name="Sum of Actual Cost" fld="15" baseField="0" baseItem="0"/>
  </dataFields>
  <formats count="4">
    <format dxfId="43">
      <pivotArea type="all" dataOnly="0" outline="0" fieldPosition="0"/>
    </format>
    <format dxfId="42">
      <pivotArea dataOnly="0" labelOnly="1" outline="0" axis="axisValues" fieldPosition="0"/>
    </format>
    <format dxfId="41">
      <pivotArea outline="0" collapsedLevelsAreSubtotals="1" fieldPosition="0"/>
    </format>
    <format dxfId="40">
      <pivotArea collapsedLevelsAreSubtotals="1" fieldPosition="0">
        <references count="2">
          <reference field="4294967294" count="1" selected="0">
            <x v="0"/>
          </reference>
          <reference field="17" count="1">
            <x v="1"/>
          </reference>
        </references>
      </pivotArea>
    </format>
  </formats>
  <chartFormats count="2">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164F1A-9799-4478-9EDD-62A3F3409DF2}" autoFormatId="16" applyNumberFormats="0" applyBorderFormats="0" applyFontFormats="0" applyPatternFormats="0" applyAlignmentFormats="0" applyWidthHeightFormats="0">
  <queryTableRefresh nextId="18">
    <queryTableFields count="17">
      <queryTableField id="1" name="Project ID" tableColumnId="1"/>
      <queryTableField id="2" name="Project Name" tableColumnId="2"/>
      <queryTableField id="3" name="Project Type" tableColumnId="3"/>
      <queryTableField id="4" name="Location" tableColumnId="4"/>
      <queryTableField id="5" name="Start Date" tableColumnId="5"/>
      <queryTableField id="6" name="End Date" tableColumnId="6"/>
      <queryTableField id="7" name="Project Status" tableColumnId="7"/>
      <queryTableField id="8" name="Priority" tableColumnId="8"/>
      <queryTableField id="9" name="Task ID" tableColumnId="9"/>
      <queryTableField id="10" name="Task Name" tableColumnId="10"/>
      <queryTableField id="11" name="Task Status" tableColumnId="11"/>
      <queryTableField id="12" name="Assigned To" tableColumnId="12"/>
      <queryTableField id="13" name="Hours Spent" tableColumnId="13"/>
      <queryTableField id="14" name="Progress" tableColumnId="14"/>
      <queryTableField id="15" name="Budget" tableColumnId="15"/>
      <queryTableField id="16" name="Actual Cost" tableColumnId="16"/>
      <queryTableField id="17" name="Buget Utilization"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2E2BBEC6-A0DE-4A17-82C9-24CCC9C71C36}" sourceName="Assigned To">
  <pivotTables>
    <pivotTable tabId="1" name="PivotTable32"/>
    <pivotTable tabId="1" name="PivotTable30"/>
    <pivotTable tabId="1" name="PivotTable31"/>
    <pivotTable tabId="1" name="PivotTable33"/>
    <pivotTable tabId="1" name="PivotTable34"/>
    <pivotTable tabId="1" name="PivotTable35"/>
    <pivotTable tabId="1" name="PivotTable42"/>
    <pivotTable tabId="1" name="PivotTable43"/>
    <pivotTable tabId="1" name="PivotTable45"/>
    <pivotTable tabId="1" name="PivotTable46"/>
    <pivotTable tabId="1" name="PivotTable48"/>
    <pivotTable tabId="1" name="PivotTable49"/>
    <pivotTable tabId="1" name="PivotTable52"/>
  </pivotTables>
  <data>
    <tabular pivotCacheId="908323504">
      <items count="8">
        <i x="2" s="1"/>
        <i x="0"/>
        <i x="1"/>
        <i x="7"/>
        <i x="6"/>
        <i x="4"/>
        <i x="3"/>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xr10:uid="{C1DE20A2-D54A-434B-AFF9-ED9FBFCC6507}" cache="Slicer_Assigned_To" columnCount="4" showCaption="0"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igned To 1" xr10:uid="{59D8F0FC-512E-4E72-AA1E-0034F1B96E7B}" cache="Slicer_Assigned_To" columnCount="4"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CC24F6-D5F5-487F-8277-71560723FBDF}" name="Project_Management__1" displayName="Project_Management__1" ref="A1:Q301" tableType="queryTable" totalsRowShown="0">
  <autoFilter ref="A1:Q301" xr:uid="{97CC24F6-D5F5-487F-8277-71560723FBDF}"/>
  <tableColumns count="17">
    <tableColumn id="1" xr3:uid="{1D552DA4-D18F-4338-8DD2-5A15BD1E7A6C}" uniqueName="1" name="Project ID" queryTableFieldId="1" dataDxfId="55"/>
    <tableColumn id="2" xr3:uid="{E0B7D563-E052-4D1E-A62C-28D8E1E2A00D}" uniqueName="2" name="Project Name" queryTableFieldId="2" dataDxfId="54"/>
    <tableColumn id="3" xr3:uid="{210C11BC-9647-4E5F-9B8E-C41CB009B455}" uniqueName="3" name="Project Type" queryTableFieldId="3" dataDxfId="53"/>
    <tableColumn id="4" xr3:uid="{50507C24-EAC2-45DA-8FE6-AD9C2B90A5BF}" uniqueName="4" name="Location" queryTableFieldId="4" dataDxfId="52"/>
    <tableColumn id="5" xr3:uid="{18982139-3434-44B1-8BD5-60E2C74662D9}" uniqueName="5" name="Start Date" queryTableFieldId="5" dataDxfId="51"/>
    <tableColumn id="6" xr3:uid="{4E567EE5-E4E4-40FE-9435-A5A1F53A7725}" uniqueName="6" name="End Date" queryTableFieldId="6" dataDxfId="50"/>
    <tableColumn id="7" xr3:uid="{9EF8DF05-38A4-4ADD-BF82-AFE5F21D5C4A}" uniqueName="7" name="Project Status" queryTableFieldId="7" dataDxfId="49"/>
    <tableColumn id="8" xr3:uid="{42F1F0B9-7C22-444D-8F8F-F1C25F5D8C1B}" uniqueName="8" name="Priority" queryTableFieldId="8" dataDxfId="48"/>
    <tableColumn id="9" xr3:uid="{ED8D9E4D-E8BC-4F14-9884-CF22912BD816}" uniqueName="9" name="Task ID" queryTableFieldId="9" dataDxfId="47"/>
    <tableColumn id="10" xr3:uid="{73CF2E6C-24AB-442F-AA58-FBAFE9C2B5D5}" uniqueName="10" name="Task Name" queryTableFieldId="10" dataDxfId="46"/>
    <tableColumn id="11" xr3:uid="{D1CF4063-679A-4730-9173-3E92A921DF8F}" uniqueName="11" name="Task Status" queryTableFieldId="11" dataDxfId="45"/>
    <tableColumn id="12" xr3:uid="{8347BBB9-3EC0-4857-9B83-E5E0B620DCAE}" uniqueName="12" name="Assigned To" queryTableFieldId="12" dataDxfId="44"/>
    <tableColumn id="13" xr3:uid="{35FA46D3-3DF4-45A7-998A-89F0EB6638A6}" uniqueName="13" name="Hours Spent" queryTableFieldId="13"/>
    <tableColumn id="14" xr3:uid="{2B5350FC-EC18-4596-B9FF-B0180B0A5F7C}" uniqueName="14" name="Progress" queryTableFieldId="14"/>
    <tableColumn id="15" xr3:uid="{B5885AD3-1CFA-4827-A429-C658E104D772}" uniqueName="15" name="Budget" queryTableFieldId="15"/>
    <tableColumn id="16" xr3:uid="{E1CFB706-8D40-46A1-A1C2-9A82C61B46E0}" uniqueName="16" name="Actual Cost" queryTableFieldId="16"/>
    <tableColumn id="17" xr3:uid="{C8FA5397-9697-429A-AF90-3B85E89BE9A6}" uniqueName="17" name="Buget Utilization" queryTableFieldId="17"/>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6EE9-C4BB-4834-BB9D-C0A17E9B7CE4}">
  <dimension ref="A1:Q301"/>
  <sheetViews>
    <sheetView workbookViewId="0"/>
    <sheetView workbookViewId="1"/>
  </sheetViews>
  <sheetFormatPr defaultRowHeight="14.4" x14ac:dyDescent="0.55000000000000004"/>
  <cols>
    <col min="1" max="1" width="11.41796875" bestFit="1" customWidth="1"/>
    <col min="2" max="2" width="39.20703125" bestFit="1" customWidth="1"/>
    <col min="3" max="3" width="13.7890625" bestFit="1" customWidth="1"/>
    <col min="4" max="4" width="13.1015625" bestFit="1" customWidth="1"/>
    <col min="5" max="5" width="11.5234375" bestFit="1" customWidth="1"/>
    <col min="6" max="6" width="10.7890625" bestFit="1" customWidth="1"/>
    <col min="7" max="7" width="14.89453125" bestFit="1" customWidth="1"/>
    <col min="8" max="8" width="9.3125" bestFit="1" customWidth="1"/>
    <col min="9" max="9" width="9.20703125" bestFit="1" customWidth="1"/>
    <col min="10" max="10" width="49.20703125" bestFit="1" customWidth="1"/>
    <col min="11" max="11" width="12.68359375" bestFit="1" customWidth="1"/>
    <col min="12" max="12" width="13.20703125" bestFit="1" customWidth="1"/>
    <col min="13" max="13" width="13.41796875" bestFit="1" customWidth="1"/>
    <col min="14" max="14" width="10.3125" bestFit="1" customWidth="1"/>
    <col min="15" max="15" width="9.20703125" bestFit="1" customWidth="1"/>
    <col min="16" max="16" width="12.68359375" bestFit="1" customWidth="1"/>
    <col min="17" max="17" width="17.1015625" bestFit="1" customWidth="1"/>
  </cols>
  <sheetData>
    <row r="1" spans="1:17" x14ac:dyDescent="0.55000000000000004">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55000000000000004">
      <c r="A2" t="s">
        <v>17</v>
      </c>
      <c r="B2" t="s">
        <v>18</v>
      </c>
      <c r="C2" t="s">
        <v>19</v>
      </c>
      <c r="D2" t="s">
        <v>20</v>
      </c>
      <c r="E2" s="1">
        <v>45494</v>
      </c>
      <c r="F2" s="1">
        <v>45512</v>
      </c>
      <c r="G2" t="s">
        <v>21</v>
      </c>
      <c r="H2" t="s">
        <v>22</v>
      </c>
      <c r="I2" t="s">
        <v>23</v>
      </c>
      <c r="J2" t="s">
        <v>24</v>
      </c>
      <c r="K2" t="s">
        <v>25</v>
      </c>
      <c r="L2" t="s">
        <v>26</v>
      </c>
      <c r="M2">
        <v>12</v>
      </c>
      <c r="N2">
        <v>0.24</v>
      </c>
      <c r="O2">
        <v>9621</v>
      </c>
      <c r="P2">
        <v>0</v>
      </c>
      <c r="Q2">
        <v>0</v>
      </c>
    </row>
    <row r="3" spans="1:17" x14ac:dyDescent="0.55000000000000004">
      <c r="A3" t="s">
        <v>17</v>
      </c>
      <c r="B3" t="s">
        <v>18</v>
      </c>
      <c r="C3" t="s">
        <v>19</v>
      </c>
      <c r="D3" t="s">
        <v>27</v>
      </c>
      <c r="E3" s="1">
        <v>45494</v>
      </c>
      <c r="F3" s="1">
        <v>45516</v>
      </c>
      <c r="G3" t="s">
        <v>21</v>
      </c>
      <c r="H3" t="s">
        <v>28</v>
      </c>
      <c r="I3" t="s">
        <v>29</v>
      </c>
      <c r="J3" t="s">
        <v>30</v>
      </c>
      <c r="K3" t="s">
        <v>25</v>
      </c>
      <c r="L3" t="s">
        <v>31</v>
      </c>
      <c r="M3">
        <v>4</v>
      </c>
      <c r="N3">
        <v>0.56000000000000005</v>
      </c>
      <c r="O3">
        <v>7814</v>
      </c>
      <c r="P3">
        <v>0</v>
      </c>
      <c r="Q3">
        <v>0</v>
      </c>
    </row>
    <row r="4" spans="1:17" x14ac:dyDescent="0.55000000000000004">
      <c r="A4" t="s">
        <v>17</v>
      </c>
      <c r="B4" t="s">
        <v>18</v>
      </c>
      <c r="C4" t="s">
        <v>19</v>
      </c>
      <c r="D4" t="s">
        <v>32</v>
      </c>
      <c r="E4" s="1">
        <v>45494</v>
      </c>
      <c r="F4" s="1">
        <v>45514</v>
      </c>
      <c r="G4" t="s">
        <v>21</v>
      </c>
      <c r="H4" t="s">
        <v>28</v>
      </c>
      <c r="I4" t="s">
        <v>33</v>
      </c>
      <c r="J4" t="s">
        <v>34</v>
      </c>
      <c r="K4" t="s">
        <v>35</v>
      </c>
      <c r="L4" t="s">
        <v>31</v>
      </c>
      <c r="M4">
        <v>5</v>
      </c>
      <c r="N4">
        <v>1</v>
      </c>
      <c r="O4">
        <v>1028</v>
      </c>
      <c r="P4">
        <v>1011</v>
      </c>
      <c r="Q4">
        <v>0.9834630350194552</v>
      </c>
    </row>
    <row r="5" spans="1:17" x14ac:dyDescent="0.55000000000000004">
      <c r="A5" t="s">
        <v>36</v>
      </c>
      <c r="B5" t="s">
        <v>37</v>
      </c>
      <c r="C5" t="s">
        <v>38</v>
      </c>
      <c r="D5" t="s">
        <v>39</v>
      </c>
      <c r="E5" s="1">
        <v>45447</v>
      </c>
      <c r="F5" s="1">
        <v>45850</v>
      </c>
      <c r="G5" t="s">
        <v>40</v>
      </c>
      <c r="H5" t="s">
        <v>28</v>
      </c>
      <c r="I5" t="s">
        <v>23</v>
      </c>
      <c r="J5" t="s">
        <v>41</v>
      </c>
      <c r="K5" t="s">
        <v>42</v>
      </c>
      <c r="L5" t="s">
        <v>31</v>
      </c>
      <c r="M5">
        <v>24</v>
      </c>
      <c r="N5">
        <v>0.33</v>
      </c>
      <c r="O5">
        <v>1530</v>
      </c>
      <c r="P5">
        <v>0</v>
      </c>
      <c r="Q5">
        <v>0</v>
      </c>
    </row>
    <row r="6" spans="1:17" x14ac:dyDescent="0.55000000000000004">
      <c r="A6" t="s">
        <v>36</v>
      </c>
      <c r="B6" t="s">
        <v>37</v>
      </c>
      <c r="C6" t="s">
        <v>38</v>
      </c>
      <c r="D6" t="s">
        <v>43</v>
      </c>
      <c r="E6" s="1">
        <v>45447</v>
      </c>
      <c r="F6" s="1">
        <v>45834</v>
      </c>
      <c r="G6" t="s">
        <v>40</v>
      </c>
      <c r="H6" t="s">
        <v>22</v>
      </c>
      <c r="I6" t="s">
        <v>29</v>
      </c>
      <c r="J6" t="s">
        <v>44</v>
      </c>
      <c r="K6" t="s">
        <v>42</v>
      </c>
      <c r="L6" t="s">
        <v>31</v>
      </c>
      <c r="M6">
        <v>26</v>
      </c>
      <c r="N6">
        <v>0.32</v>
      </c>
      <c r="O6">
        <v>7201</v>
      </c>
      <c r="P6">
        <v>0</v>
      </c>
      <c r="Q6">
        <v>0</v>
      </c>
    </row>
    <row r="7" spans="1:17" x14ac:dyDescent="0.55000000000000004">
      <c r="A7" t="s">
        <v>36</v>
      </c>
      <c r="B7" t="s">
        <v>37</v>
      </c>
      <c r="C7" t="s">
        <v>38</v>
      </c>
      <c r="D7" t="s">
        <v>45</v>
      </c>
      <c r="E7" s="1">
        <v>45447</v>
      </c>
      <c r="F7" s="1">
        <v>45741</v>
      </c>
      <c r="G7" t="s">
        <v>40</v>
      </c>
      <c r="H7" t="s">
        <v>46</v>
      </c>
      <c r="I7" t="s">
        <v>33</v>
      </c>
      <c r="J7" t="s">
        <v>47</v>
      </c>
      <c r="K7" t="s">
        <v>25</v>
      </c>
      <c r="L7" t="s">
        <v>48</v>
      </c>
      <c r="M7">
        <v>28</v>
      </c>
      <c r="N7">
        <v>0.28999999999999998</v>
      </c>
      <c r="O7">
        <v>9814</v>
      </c>
      <c r="P7">
        <v>0</v>
      </c>
      <c r="Q7">
        <v>0</v>
      </c>
    </row>
    <row r="8" spans="1:17" x14ac:dyDescent="0.55000000000000004">
      <c r="A8" t="s">
        <v>49</v>
      </c>
      <c r="B8" t="s">
        <v>50</v>
      </c>
      <c r="C8" t="s">
        <v>51</v>
      </c>
      <c r="D8" t="s">
        <v>39</v>
      </c>
      <c r="E8" s="1">
        <v>45493</v>
      </c>
      <c r="F8" s="1">
        <v>45526</v>
      </c>
      <c r="G8" t="s">
        <v>35</v>
      </c>
      <c r="H8" t="s">
        <v>46</v>
      </c>
      <c r="I8" t="s">
        <v>23</v>
      </c>
      <c r="J8" t="s">
        <v>52</v>
      </c>
      <c r="K8" t="s">
        <v>35</v>
      </c>
      <c r="L8" t="s">
        <v>53</v>
      </c>
      <c r="M8">
        <v>7</v>
      </c>
      <c r="N8">
        <v>1</v>
      </c>
      <c r="O8">
        <v>7981</v>
      </c>
      <c r="P8">
        <v>7717</v>
      </c>
      <c r="Q8">
        <v>0.96692143841623857</v>
      </c>
    </row>
    <row r="9" spans="1:17" x14ac:dyDescent="0.55000000000000004">
      <c r="A9" t="s">
        <v>49</v>
      </c>
      <c r="B9" t="s">
        <v>50</v>
      </c>
      <c r="C9" t="s">
        <v>51</v>
      </c>
      <c r="D9" t="s">
        <v>54</v>
      </c>
      <c r="E9" s="1">
        <v>45493</v>
      </c>
      <c r="F9" s="1">
        <v>45560</v>
      </c>
      <c r="G9" t="s">
        <v>35</v>
      </c>
      <c r="H9" t="s">
        <v>22</v>
      </c>
      <c r="I9" t="s">
        <v>29</v>
      </c>
      <c r="J9" t="s">
        <v>55</v>
      </c>
      <c r="K9" t="s">
        <v>35</v>
      </c>
      <c r="L9" t="s">
        <v>56</v>
      </c>
      <c r="M9">
        <v>23</v>
      </c>
      <c r="N9">
        <v>1</v>
      </c>
      <c r="O9">
        <v>1032</v>
      </c>
      <c r="P9">
        <v>637</v>
      </c>
      <c r="Q9">
        <v>0.61724806201550386</v>
      </c>
    </row>
    <row r="10" spans="1:17" x14ac:dyDescent="0.55000000000000004">
      <c r="A10" t="s">
        <v>49</v>
      </c>
      <c r="B10" t="s">
        <v>50</v>
      </c>
      <c r="C10" t="s">
        <v>51</v>
      </c>
      <c r="D10" t="s">
        <v>32</v>
      </c>
      <c r="E10" s="1">
        <v>45493</v>
      </c>
      <c r="F10" s="1">
        <v>45526</v>
      </c>
      <c r="G10" t="s">
        <v>35</v>
      </c>
      <c r="H10" t="s">
        <v>22</v>
      </c>
      <c r="I10" t="s">
        <v>33</v>
      </c>
      <c r="J10" t="s">
        <v>57</v>
      </c>
      <c r="K10" t="s">
        <v>35</v>
      </c>
      <c r="L10" t="s">
        <v>53</v>
      </c>
      <c r="M10">
        <v>13</v>
      </c>
      <c r="N10">
        <v>1</v>
      </c>
      <c r="O10">
        <v>8546</v>
      </c>
      <c r="P10">
        <v>8502</v>
      </c>
      <c r="Q10">
        <v>0.99485139246431076</v>
      </c>
    </row>
    <row r="11" spans="1:17" x14ac:dyDescent="0.55000000000000004">
      <c r="A11" t="s">
        <v>58</v>
      </c>
      <c r="B11" t="s">
        <v>59</v>
      </c>
      <c r="C11" t="s">
        <v>60</v>
      </c>
      <c r="D11" t="s">
        <v>39</v>
      </c>
      <c r="E11" s="1">
        <v>45407</v>
      </c>
      <c r="F11" s="1">
        <v>45418</v>
      </c>
      <c r="G11" t="s">
        <v>35</v>
      </c>
      <c r="H11" t="s">
        <v>22</v>
      </c>
      <c r="I11" t="s">
        <v>23</v>
      </c>
      <c r="J11" t="s">
        <v>61</v>
      </c>
      <c r="K11" t="s">
        <v>35</v>
      </c>
      <c r="L11" t="s">
        <v>56</v>
      </c>
      <c r="M11">
        <v>28</v>
      </c>
      <c r="N11">
        <v>1</v>
      </c>
      <c r="O11">
        <v>3728</v>
      </c>
      <c r="P11">
        <v>3369</v>
      </c>
      <c r="Q11">
        <v>0.90370171673819744</v>
      </c>
    </row>
    <row r="12" spans="1:17" x14ac:dyDescent="0.55000000000000004">
      <c r="A12" t="s">
        <v>58</v>
      </c>
      <c r="B12" t="s">
        <v>59</v>
      </c>
      <c r="C12" t="s">
        <v>60</v>
      </c>
      <c r="D12" t="s">
        <v>20</v>
      </c>
      <c r="E12" s="1">
        <v>45407</v>
      </c>
      <c r="F12" s="1">
        <v>45417</v>
      </c>
      <c r="G12" t="s">
        <v>35</v>
      </c>
      <c r="H12" t="s">
        <v>28</v>
      </c>
      <c r="I12" t="s">
        <v>29</v>
      </c>
      <c r="J12" t="s">
        <v>62</v>
      </c>
      <c r="K12" t="s">
        <v>25</v>
      </c>
      <c r="L12" t="s">
        <v>31</v>
      </c>
      <c r="M12">
        <v>26</v>
      </c>
      <c r="N12">
        <v>0.99</v>
      </c>
      <c r="O12">
        <v>9707</v>
      </c>
      <c r="P12">
        <v>0</v>
      </c>
      <c r="Q12">
        <v>0</v>
      </c>
    </row>
    <row r="13" spans="1:17" x14ac:dyDescent="0.55000000000000004">
      <c r="A13" t="s">
        <v>58</v>
      </c>
      <c r="B13" t="s">
        <v>59</v>
      </c>
      <c r="C13" t="s">
        <v>60</v>
      </c>
      <c r="D13" t="s">
        <v>20</v>
      </c>
      <c r="E13" s="1">
        <v>45407</v>
      </c>
      <c r="F13" s="1">
        <v>45422</v>
      </c>
      <c r="G13" t="s">
        <v>35</v>
      </c>
      <c r="H13" t="s">
        <v>22</v>
      </c>
      <c r="I13" t="s">
        <v>33</v>
      </c>
      <c r="J13" t="s">
        <v>63</v>
      </c>
      <c r="K13" t="s">
        <v>42</v>
      </c>
      <c r="L13" t="s">
        <v>31</v>
      </c>
      <c r="M13">
        <v>18</v>
      </c>
      <c r="N13">
        <v>0.74</v>
      </c>
      <c r="O13">
        <v>5712</v>
      </c>
      <c r="P13">
        <v>0</v>
      </c>
      <c r="Q13">
        <v>0</v>
      </c>
    </row>
    <row r="14" spans="1:17" x14ac:dyDescent="0.55000000000000004">
      <c r="A14" t="s">
        <v>64</v>
      </c>
      <c r="B14" t="s">
        <v>65</v>
      </c>
      <c r="C14" t="s">
        <v>66</v>
      </c>
      <c r="D14" t="s">
        <v>67</v>
      </c>
      <c r="E14" s="1">
        <v>45473</v>
      </c>
      <c r="F14" s="1">
        <v>45869</v>
      </c>
      <c r="G14" t="s">
        <v>21</v>
      </c>
      <c r="H14" t="s">
        <v>22</v>
      </c>
      <c r="I14" t="s">
        <v>23</v>
      </c>
      <c r="J14" t="s">
        <v>68</v>
      </c>
      <c r="K14" t="s">
        <v>42</v>
      </c>
      <c r="L14" t="s">
        <v>31</v>
      </c>
      <c r="M14">
        <v>18</v>
      </c>
      <c r="N14">
        <v>0.78</v>
      </c>
      <c r="O14">
        <v>3453</v>
      </c>
      <c r="P14">
        <v>0</v>
      </c>
      <c r="Q14">
        <v>0</v>
      </c>
    </row>
    <row r="15" spans="1:17" x14ac:dyDescent="0.55000000000000004">
      <c r="A15" t="s">
        <v>64</v>
      </c>
      <c r="B15" t="s">
        <v>65</v>
      </c>
      <c r="C15" t="s">
        <v>66</v>
      </c>
      <c r="D15" t="s">
        <v>45</v>
      </c>
      <c r="E15" s="1">
        <v>45473</v>
      </c>
      <c r="F15" s="1">
        <v>45506</v>
      </c>
      <c r="G15" t="s">
        <v>21</v>
      </c>
      <c r="H15" t="s">
        <v>22</v>
      </c>
      <c r="I15" t="s">
        <v>29</v>
      </c>
      <c r="J15" t="s">
        <v>69</v>
      </c>
      <c r="K15" t="s">
        <v>35</v>
      </c>
      <c r="L15" t="s">
        <v>56</v>
      </c>
      <c r="M15">
        <v>7</v>
      </c>
      <c r="N15">
        <v>1</v>
      </c>
      <c r="O15">
        <v>2896</v>
      </c>
      <c r="P15">
        <v>2643</v>
      </c>
      <c r="Q15">
        <v>0.91263812154696133</v>
      </c>
    </row>
    <row r="16" spans="1:17" x14ac:dyDescent="0.55000000000000004">
      <c r="A16" t="s">
        <v>64</v>
      </c>
      <c r="B16" t="s">
        <v>65</v>
      </c>
      <c r="C16" t="s">
        <v>66</v>
      </c>
      <c r="D16" t="s">
        <v>54</v>
      </c>
      <c r="E16" s="1">
        <v>45473</v>
      </c>
      <c r="F16" s="1">
        <v>45838</v>
      </c>
      <c r="G16" t="s">
        <v>21</v>
      </c>
      <c r="H16" t="s">
        <v>28</v>
      </c>
      <c r="I16" t="s">
        <v>33</v>
      </c>
      <c r="J16" t="s">
        <v>70</v>
      </c>
      <c r="K16" t="s">
        <v>42</v>
      </c>
      <c r="L16" t="s">
        <v>53</v>
      </c>
      <c r="M16">
        <v>0</v>
      </c>
      <c r="N16">
        <v>0.04</v>
      </c>
      <c r="O16">
        <v>6463</v>
      </c>
      <c r="P16">
        <v>0</v>
      </c>
      <c r="Q16">
        <v>0</v>
      </c>
    </row>
    <row r="17" spans="1:17" x14ac:dyDescent="0.55000000000000004">
      <c r="A17" t="s">
        <v>71</v>
      </c>
      <c r="B17" t="s">
        <v>72</v>
      </c>
      <c r="C17" t="s">
        <v>19</v>
      </c>
      <c r="D17" t="s">
        <v>67</v>
      </c>
      <c r="E17" s="1">
        <v>45513</v>
      </c>
      <c r="F17" s="1">
        <v>45546</v>
      </c>
      <c r="G17" t="s">
        <v>21</v>
      </c>
      <c r="H17" t="s">
        <v>46</v>
      </c>
      <c r="I17" t="s">
        <v>23</v>
      </c>
      <c r="J17" t="s">
        <v>73</v>
      </c>
      <c r="K17" t="s">
        <v>35</v>
      </c>
      <c r="L17" t="s">
        <v>48</v>
      </c>
      <c r="M17">
        <v>9</v>
      </c>
      <c r="N17">
        <v>1</v>
      </c>
      <c r="O17">
        <v>3206</v>
      </c>
      <c r="P17">
        <v>2739</v>
      </c>
      <c r="Q17">
        <v>0.85433562071116653</v>
      </c>
    </row>
    <row r="18" spans="1:17" x14ac:dyDescent="0.55000000000000004">
      <c r="A18" t="s">
        <v>71</v>
      </c>
      <c r="B18" t="s">
        <v>72</v>
      </c>
      <c r="C18" t="s">
        <v>19</v>
      </c>
      <c r="D18" t="s">
        <v>74</v>
      </c>
      <c r="E18" s="1">
        <v>45513</v>
      </c>
      <c r="F18" s="1">
        <v>45546</v>
      </c>
      <c r="G18" t="s">
        <v>21</v>
      </c>
      <c r="H18" t="s">
        <v>22</v>
      </c>
      <c r="I18" t="s">
        <v>29</v>
      </c>
      <c r="J18" t="s">
        <v>75</v>
      </c>
      <c r="K18" t="s">
        <v>35</v>
      </c>
      <c r="L18" t="s">
        <v>56</v>
      </c>
      <c r="M18">
        <v>40</v>
      </c>
      <c r="N18">
        <v>1</v>
      </c>
      <c r="O18">
        <v>6477</v>
      </c>
      <c r="P18">
        <v>6402</v>
      </c>
      <c r="Q18">
        <v>0.98842056507642428</v>
      </c>
    </row>
    <row r="19" spans="1:17" x14ac:dyDescent="0.55000000000000004">
      <c r="A19" t="s">
        <v>71</v>
      </c>
      <c r="B19" t="s">
        <v>72</v>
      </c>
      <c r="C19" t="s">
        <v>19</v>
      </c>
      <c r="D19" t="s">
        <v>39</v>
      </c>
      <c r="E19" s="1">
        <v>45513</v>
      </c>
      <c r="F19" s="1">
        <v>45708</v>
      </c>
      <c r="G19" t="s">
        <v>21</v>
      </c>
      <c r="H19" t="s">
        <v>28</v>
      </c>
      <c r="I19" t="s">
        <v>33</v>
      </c>
      <c r="J19" t="s">
        <v>76</v>
      </c>
      <c r="K19" t="s">
        <v>25</v>
      </c>
      <c r="L19" t="s">
        <v>31</v>
      </c>
      <c r="M19">
        <v>40</v>
      </c>
      <c r="N19">
        <v>7.0000000000000007E-2</v>
      </c>
      <c r="O19">
        <v>8634</v>
      </c>
      <c r="P19">
        <v>0</v>
      </c>
      <c r="Q19">
        <v>0</v>
      </c>
    </row>
    <row r="20" spans="1:17" x14ac:dyDescent="0.55000000000000004">
      <c r="A20" t="s">
        <v>77</v>
      </c>
      <c r="B20" t="s">
        <v>78</v>
      </c>
      <c r="C20" t="s">
        <v>79</v>
      </c>
      <c r="D20" t="s">
        <v>45</v>
      </c>
      <c r="E20" s="1">
        <v>45510</v>
      </c>
      <c r="F20" s="1">
        <v>45613</v>
      </c>
      <c r="G20" t="s">
        <v>40</v>
      </c>
      <c r="H20" t="s">
        <v>28</v>
      </c>
      <c r="I20" t="s">
        <v>23</v>
      </c>
      <c r="J20" t="s">
        <v>80</v>
      </c>
      <c r="K20" t="s">
        <v>42</v>
      </c>
      <c r="L20" t="s">
        <v>81</v>
      </c>
      <c r="M20">
        <v>32</v>
      </c>
      <c r="N20">
        <v>0.62</v>
      </c>
      <c r="O20">
        <v>2552</v>
      </c>
      <c r="P20">
        <v>0</v>
      </c>
      <c r="Q20">
        <v>0</v>
      </c>
    </row>
    <row r="21" spans="1:17" x14ac:dyDescent="0.55000000000000004">
      <c r="A21" t="s">
        <v>77</v>
      </c>
      <c r="B21" t="s">
        <v>78</v>
      </c>
      <c r="C21" t="s">
        <v>79</v>
      </c>
      <c r="D21" t="s">
        <v>82</v>
      </c>
      <c r="E21" s="1">
        <v>45510</v>
      </c>
      <c r="F21" s="1">
        <v>45625</v>
      </c>
      <c r="G21" t="s">
        <v>40</v>
      </c>
      <c r="H21" t="s">
        <v>22</v>
      </c>
      <c r="I21" t="s">
        <v>29</v>
      </c>
      <c r="J21" t="s">
        <v>83</v>
      </c>
      <c r="K21" t="s">
        <v>42</v>
      </c>
      <c r="L21" t="s">
        <v>53</v>
      </c>
      <c r="M21">
        <v>25</v>
      </c>
      <c r="N21">
        <v>0.85</v>
      </c>
      <c r="O21">
        <v>4699</v>
      </c>
      <c r="P21">
        <v>0</v>
      </c>
      <c r="Q21">
        <v>0</v>
      </c>
    </row>
    <row r="22" spans="1:17" x14ac:dyDescent="0.55000000000000004">
      <c r="A22" t="s">
        <v>77</v>
      </c>
      <c r="B22" t="s">
        <v>78</v>
      </c>
      <c r="C22" t="s">
        <v>79</v>
      </c>
      <c r="D22" t="s">
        <v>39</v>
      </c>
      <c r="E22" s="1">
        <v>45510</v>
      </c>
      <c r="F22" s="1">
        <v>45613</v>
      </c>
      <c r="G22" t="s">
        <v>40</v>
      </c>
      <c r="H22" t="s">
        <v>46</v>
      </c>
      <c r="I22" t="s">
        <v>33</v>
      </c>
      <c r="J22" t="s">
        <v>84</v>
      </c>
      <c r="K22" t="s">
        <v>42</v>
      </c>
      <c r="L22" t="s">
        <v>81</v>
      </c>
      <c r="M22">
        <v>10</v>
      </c>
      <c r="N22">
        <v>0.92</v>
      </c>
      <c r="O22">
        <v>1720</v>
      </c>
      <c r="P22">
        <v>0</v>
      </c>
      <c r="Q22">
        <v>0</v>
      </c>
    </row>
    <row r="23" spans="1:17" x14ac:dyDescent="0.55000000000000004">
      <c r="A23" t="s">
        <v>85</v>
      </c>
      <c r="B23" t="s">
        <v>86</v>
      </c>
      <c r="C23" t="s">
        <v>51</v>
      </c>
      <c r="D23" t="s">
        <v>87</v>
      </c>
      <c r="E23" s="1">
        <v>45399</v>
      </c>
      <c r="F23" s="1">
        <v>45548</v>
      </c>
      <c r="G23" t="s">
        <v>40</v>
      </c>
      <c r="H23" t="s">
        <v>22</v>
      </c>
      <c r="I23" t="s">
        <v>23</v>
      </c>
      <c r="J23" t="s">
        <v>88</v>
      </c>
      <c r="K23" t="s">
        <v>42</v>
      </c>
      <c r="L23" t="s">
        <v>48</v>
      </c>
      <c r="M23">
        <v>17</v>
      </c>
      <c r="N23">
        <v>0.59</v>
      </c>
      <c r="O23">
        <v>9458</v>
      </c>
      <c r="P23">
        <v>0</v>
      </c>
      <c r="Q23">
        <v>0</v>
      </c>
    </row>
    <row r="24" spans="1:17" x14ac:dyDescent="0.55000000000000004">
      <c r="A24" t="s">
        <v>85</v>
      </c>
      <c r="B24" t="s">
        <v>86</v>
      </c>
      <c r="C24" t="s">
        <v>51</v>
      </c>
      <c r="D24" t="s">
        <v>89</v>
      </c>
      <c r="E24" s="1">
        <v>45399</v>
      </c>
      <c r="F24" s="1">
        <v>45601</v>
      </c>
      <c r="G24" t="s">
        <v>40</v>
      </c>
      <c r="H24" t="s">
        <v>46</v>
      </c>
      <c r="I24" t="s">
        <v>29</v>
      </c>
      <c r="J24" t="s">
        <v>90</v>
      </c>
      <c r="K24" t="s">
        <v>42</v>
      </c>
      <c r="L24" t="s">
        <v>31</v>
      </c>
      <c r="M24">
        <v>21</v>
      </c>
      <c r="N24">
        <v>0.26</v>
      </c>
      <c r="O24">
        <v>4735</v>
      </c>
      <c r="P24">
        <v>0</v>
      </c>
      <c r="Q24">
        <v>0</v>
      </c>
    </row>
    <row r="25" spans="1:17" x14ac:dyDescent="0.55000000000000004">
      <c r="A25" t="s">
        <v>85</v>
      </c>
      <c r="B25" t="s">
        <v>86</v>
      </c>
      <c r="C25" t="s">
        <v>51</v>
      </c>
      <c r="D25" t="s">
        <v>91</v>
      </c>
      <c r="E25" s="1">
        <v>45399</v>
      </c>
      <c r="F25" s="1">
        <v>45584</v>
      </c>
      <c r="G25" t="s">
        <v>40</v>
      </c>
      <c r="H25" t="s">
        <v>28</v>
      </c>
      <c r="I25" t="s">
        <v>33</v>
      </c>
      <c r="J25" t="s">
        <v>92</v>
      </c>
      <c r="K25" t="s">
        <v>42</v>
      </c>
      <c r="L25" t="s">
        <v>31</v>
      </c>
      <c r="M25">
        <v>7</v>
      </c>
      <c r="N25">
        <v>0.45</v>
      </c>
      <c r="O25">
        <v>9460</v>
      </c>
      <c r="P25">
        <v>0</v>
      </c>
      <c r="Q25">
        <v>0</v>
      </c>
    </row>
    <row r="26" spans="1:17" x14ac:dyDescent="0.55000000000000004">
      <c r="A26" t="s">
        <v>93</v>
      </c>
      <c r="B26" t="s">
        <v>94</v>
      </c>
      <c r="C26" t="s">
        <v>79</v>
      </c>
      <c r="D26" t="s">
        <v>20</v>
      </c>
      <c r="E26" s="1">
        <v>45409</v>
      </c>
      <c r="F26" s="1">
        <v>45775</v>
      </c>
      <c r="G26" t="s">
        <v>95</v>
      </c>
      <c r="H26" t="s">
        <v>28</v>
      </c>
      <c r="I26" t="s">
        <v>23</v>
      </c>
      <c r="J26" t="s">
        <v>96</v>
      </c>
      <c r="K26" t="s">
        <v>42</v>
      </c>
      <c r="L26" t="s">
        <v>31</v>
      </c>
      <c r="M26">
        <v>35</v>
      </c>
      <c r="N26">
        <v>0.36</v>
      </c>
      <c r="O26">
        <v>6385</v>
      </c>
      <c r="P26">
        <v>0</v>
      </c>
      <c r="Q26">
        <v>0</v>
      </c>
    </row>
    <row r="27" spans="1:17" x14ac:dyDescent="0.55000000000000004">
      <c r="A27" t="s">
        <v>93</v>
      </c>
      <c r="B27" t="s">
        <v>94</v>
      </c>
      <c r="C27" t="s">
        <v>79</v>
      </c>
      <c r="D27" t="s">
        <v>54</v>
      </c>
      <c r="E27" s="1">
        <v>45409</v>
      </c>
      <c r="F27" s="1">
        <v>45809</v>
      </c>
      <c r="G27" t="s">
        <v>95</v>
      </c>
      <c r="H27" t="s">
        <v>22</v>
      </c>
      <c r="I27" t="s">
        <v>29</v>
      </c>
      <c r="J27" t="s">
        <v>97</v>
      </c>
      <c r="K27" t="s">
        <v>42</v>
      </c>
      <c r="L27" t="s">
        <v>81</v>
      </c>
      <c r="M27">
        <v>2</v>
      </c>
      <c r="N27">
        <v>0.88</v>
      </c>
      <c r="O27">
        <v>7980</v>
      </c>
      <c r="P27">
        <v>0</v>
      </c>
      <c r="Q27">
        <v>0</v>
      </c>
    </row>
    <row r="28" spans="1:17" x14ac:dyDescent="0.55000000000000004">
      <c r="A28" t="s">
        <v>93</v>
      </c>
      <c r="B28" t="s">
        <v>94</v>
      </c>
      <c r="C28" t="s">
        <v>79</v>
      </c>
      <c r="D28" t="s">
        <v>32</v>
      </c>
      <c r="E28" s="1">
        <v>45409</v>
      </c>
      <c r="F28" s="1">
        <v>45803</v>
      </c>
      <c r="G28" t="s">
        <v>95</v>
      </c>
      <c r="H28" t="s">
        <v>46</v>
      </c>
      <c r="I28" t="s">
        <v>33</v>
      </c>
      <c r="J28" t="s">
        <v>98</v>
      </c>
      <c r="K28" t="s">
        <v>42</v>
      </c>
      <c r="L28" t="s">
        <v>31</v>
      </c>
      <c r="M28">
        <v>26</v>
      </c>
      <c r="N28">
        <v>0.97</v>
      </c>
      <c r="O28">
        <v>1106</v>
      </c>
      <c r="P28">
        <v>0</v>
      </c>
      <c r="Q28">
        <v>0</v>
      </c>
    </row>
    <row r="29" spans="1:17" x14ac:dyDescent="0.55000000000000004">
      <c r="A29" t="s">
        <v>99</v>
      </c>
      <c r="B29" t="s">
        <v>100</v>
      </c>
      <c r="C29" t="s">
        <v>79</v>
      </c>
      <c r="D29" t="s">
        <v>27</v>
      </c>
      <c r="E29" s="1">
        <v>45336</v>
      </c>
      <c r="F29" s="1">
        <v>45458</v>
      </c>
      <c r="G29" t="s">
        <v>40</v>
      </c>
      <c r="H29" t="s">
        <v>28</v>
      </c>
      <c r="I29" t="s">
        <v>23</v>
      </c>
      <c r="J29" t="s">
        <v>101</v>
      </c>
      <c r="K29" t="s">
        <v>42</v>
      </c>
      <c r="L29" t="s">
        <v>53</v>
      </c>
      <c r="M29">
        <v>32</v>
      </c>
      <c r="N29">
        <v>0.1</v>
      </c>
      <c r="O29">
        <v>1577</v>
      </c>
      <c r="P29">
        <v>4850</v>
      </c>
      <c r="Q29">
        <v>3.0754597336715284</v>
      </c>
    </row>
    <row r="30" spans="1:17" x14ac:dyDescent="0.55000000000000004">
      <c r="A30" t="s">
        <v>99</v>
      </c>
      <c r="B30" t="s">
        <v>100</v>
      </c>
      <c r="C30" t="s">
        <v>79</v>
      </c>
      <c r="D30" t="s">
        <v>32</v>
      </c>
      <c r="E30" s="1">
        <v>45336</v>
      </c>
      <c r="F30" s="1">
        <v>45451</v>
      </c>
      <c r="G30" t="s">
        <v>40</v>
      </c>
      <c r="H30" t="s">
        <v>28</v>
      </c>
      <c r="I30" t="s">
        <v>29</v>
      </c>
      <c r="J30" t="s">
        <v>102</v>
      </c>
      <c r="K30" t="s">
        <v>42</v>
      </c>
      <c r="L30" t="s">
        <v>48</v>
      </c>
      <c r="M30">
        <v>16</v>
      </c>
      <c r="N30">
        <v>0.7</v>
      </c>
      <c r="O30">
        <v>3110</v>
      </c>
      <c r="P30">
        <v>0</v>
      </c>
      <c r="Q30">
        <v>0</v>
      </c>
    </row>
    <row r="31" spans="1:17" x14ac:dyDescent="0.55000000000000004">
      <c r="A31" t="s">
        <v>99</v>
      </c>
      <c r="B31" t="s">
        <v>100</v>
      </c>
      <c r="C31" t="s">
        <v>79</v>
      </c>
      <c r="D31" t="s">
        <v>32</v>
      </c>
      <c r="E31" s="1">
        <v>45336</v>
      </c>
      <c r="F31" s="1">
        <v>45438</v>
      </c>
      <c r="G31" t="s">
        <v>40</v>
      </c>
      <c r="H31" t="s">
        <v>46</v>
      </c>
      <c r="I31" t="s">
        <v>33</v>
      </c>
      <c r="J31" t="s">
        <v>103</v>
      </c>
      <c r="K31" t="s">
        <v>42</v>
      </c>
      <c r="L31" t="s">
        <v>31</v>
      </c>
      <c r="M31">
        <v>11</v>
      </c>
      <c r="N31">
        <v>0.6</v>
      </c>
      <c r="O31">
        <v>3432</v>
      </c>
      <c r="P31">
        <v>0</v>
      </c>
      <c r="Q31">
        <v>0</v>
      </c>
    </row>
    <row r="32" spans="1:17" x14ac:dyDescent="0.55000000000000004">
      <c r="A32" t="s">
        <v>104</v>
      </c>
      <c r="B32" t="s">
        <v>105</v>
      </c>
      <c r="C32" t="s">
        <v>19</v>
      </c>
      <c r="D32" t="s">
        <v>20</v>
      </c>
      <c r="E32" s="1">
        <v>45420</v>
      </c>
      <c r="F32" s="1">
        <v>45501</v>
      </c>
      <c r="G32" t="s">
        <v>35</v>
      </c>
      <c r="H32" t="s">
        <v>28</v>
      </c>
      <c r="I32" t="s">
        <v>23</v>
      </c>
      <c r="J32" t="s">
        <v>106</v>
      </c>
      <c r="K32" t="s">
        <v>25</v>
      </c>
      <c r="L32" t="s">
        <v>107</v>
      </c>
      <c r="M32">
        <v>15</v>
      </c>
      <c r="N32">
        <v>0.64</v>
      </c>
      <c r="O32">
        <v>3544</v>
      </c>
      <c r="P32">
        <v>0</v>
      </c>
      <c r="Q32">
        <v>0</v>
      </c>
    </row>
    <row r="33" spans="1:17" x14ac:dyDescent="0.55000000000000004">
      <c r="A33" t="s">
        <v>104</v>
      </c>
      <c r="B33" t="s">
        <v>105</v>
      </c>
      <c r="C33" t="s">
        <v>19</v>
      </c>
      <c r="D33" t="s">
        <v>91</v>
      </c>
      <c r="E33" s="1">
        <v>45420</v>
      </c>
      <c r="F33" s="1">
        <v>45523</v>
      </c>
      <c r="G33" t="s">
        <v>35</v>
      </c>
      <c r="H33" t="s">
        <v>28</v>
      </c>
      <c r="I33" t="s">
        <v>29</v>
      </c>
      <c r="J33" t="s">
        <v>108</v>
      </c>
      <c r="K33" t="s">
        <v>25</v>
      </c>
      <c r="L33" t="s">
        <v>107</v>
      </c>
      <c r="M33">
        <v>40</v>
      </c>
      <c r="N33">
        <v>0.44</v>
      </c>
      <c r="O33">
        <v>7808</v>
      </c>
      <c r="P33">
        <v>0</v>
      </c>
      <c r="Q33">
        <v>0</v>
      </c>
    </row>
    <row r="34" spans="1:17" x14ac:dyDescent="0.55000000000000004">
      <c r="A34" t="s">
        <v>104</v>
      </c>
      <c r="B34" t="s">
        <v>105</v>
      </c>
      <c r="C34" t="s">
        <v>19</v>
      </c>
      <c r="D34" t="s">
        <v>82</v>
      </c>
      <c r="E34" s="1">
        <v>45420</v>
      </c>
      <c r="F34" s="1">
        <v>45505</v>
      </c>
      <c r="G34" t="s">
        <v>35</v>
      </c>
      <c r="H34" t="s">
        <v>28</v>
      </c>
      <c r="I34" t="s">
        <v>33</v>
      </c>
      <c r="J34" t="s">
        <v>109</v>
      </c>
      <c r="K34" t="s">
        <v>42</v>
      </c>
      <c r="L34" t="s">
        <v>48</v>
      </c>
      <c r="M34">
        <v>1</v>
      </c>
      <c r="N34">
        <v>0.02</v>
      </c>
      <c r="O34">
        <v>1776</v>
      </c>
      <c r="P34">
        <v>0</v>
      </c>
      <c r="Q34">
        <v>0</v>
      </c>
    </row>
    <row r="35" spans="1:17" x14ac:dyDescent="0.55000000000000004">
      <c r="A35" t="s">
        <v>110</v>
      </c>
      <c r="B35" t="s">
        <v>111</v>
      </c>
      <c r="C35" t="s">
        <v>51</v>
      </c>
      <c r="D35" t="s">
        <v>91</v>
      </c>
      <c r="E35" s="1">
        <v>45318</v>
      </c>
      <c r="F35" s="1">
        <v>45351</v>
      </c>
      <c r="G35" t="s">
        <v>35</v>
      </c>
      <c r="H35" t="s">
        <v>28</v>
      </c>
      <c r="I35" t="s">
        <v>23</v>
      </c>
      <c r="J35" t="s">
        <v>112</v>
      </c>
      <c r="K35" t="s">
        <v>35</v>
      </c>
      <c r="L35" t="s">
        <v>56</v>
      </c>
      <c r="M35">
        <v>15</v>
      </c>
      <c r="N35">
        <v>1</v>
      </c>
      <c r="O35">
        <v>1815</v>
      </c>
      <c r="P35">
        <v>1679</v>
      </c>
      <c r="Q35">
        <v>0.92506887052341602</v>
      </c>
    </row>
    <row r="36" spans="1:17" x14ac:dyDescent="0.55000000000000004">
      <c r="A36" t="s">
        <v>110</v>
      </c>
      <c r="B36" t="s">
        <v>111</v>
      </c>
      <c r="C36" t="s">
        <v>51</v>
      </c>
      <c r="D36" t="s">
        <v>32</v>
      </c>
      <c r="E36" s="1">
        <v>45318</v>
      </c>
      <c r="F36" s="1">
        <v>45351</v>
      </c>
      <c r="G36" t="s">
        <v>35</v>
      </c>
      <c r="H36" t="s">
        <v>28</v>
      </c>
      <c r="I36" t="s">
        <v>29</v>
      </c>
      <c r="J36" t="s">
        <v>113</v>
      </c>
      <c r="K36" t="s">
        <v>35</v>
      </c>
      <c r="L36" t="s">
        <v>26</v>
      </c>
      <c r="M36">
        <v>40</v>
      </c>
      <c r="N36">
        <v>1</v>
      </c>
      <c r="O36">
        <v>8915</v>
      </c>
      <c r="P36">
        <v>8464</v>
      </c>
      <c r="Q36">
        <v>0.94941110487941671</v>
      </c>
    </row>
    <row r="37" spans="1:17" x14ac:dyDescent="0.55000000000000004">
      <c r="A37" t="s">
        <v>110</v>
      </c>
      <c r="B37" t="s">
        <v>111</v>
      </c>
      <c r="C37" t="s">
        <v>51</v>
      </c>
      <c r="D37" t="s">
        <v>43</v>
      </c>
      <c r="E37" s="1">
        <v>45318</v>
      </c>
      <c r="F37" s="1">
        <v>45835</v>
      </c>
      <c r="G37" t="s">
        <v>35</v>
      </c>
      <c r="H37" t="s">
        <v>22</v>
      </c>
      <c r="I37" t="s">
        <v>33</v>
      </c>
      <c r="J37" t="s">
        <v>114</v>
      </c>
      <c r="K37" t="s">
        <v>42</v>
      </c>
      <c r="L37" t="s">
        <v>48</v>
      </c>
      <c r="M37">
        <v>18</v>
      </c>
      <c r="N37">
        <v>0.98</v>
      </c>
      <c r="O37">
        <v>9242</v>
      </c>
      <c r="P37">
        <v>0</v>
      </c>
      <c r="Q37">
        <v>0</v>
      </c>
    </row>
    <row r="38" spans="1:17" x14ac:dyDescent="0.55000000000000004">
      <c r="A38" t="s">
        <v>115</v>
      </c>
      <c r="B38" t="s">
        <v>116</v>
      </c>
      <c r="C38" t="s">
        <v>79</v>
      </c>
      <c r="D38" t="s">
        <v>82</v>
      </c>
      <c r="E38" s="1">
        <v>45331</v>
      </c>
      <c r="F38" s="1">
        <v>45528</v>
      </c>
      <c r="G38" t="s">
        <v>95</v>
      </c>
      <c r="H38" t="s">
        <v>22</v>
      </c>
      <c r="I38" t="s">
        <v>23</v>
      </c>
      <c r="J38" t="s">
        <v>117</v>
      </c>
      <c r="K38" t="s">
        <v>35</v>
      </c>
      <c r="L38" t="s">
        <v>48</v>
      </c>
      <c r="M38">
        <v>12</v>
      </c>
      <c r="N38">
        <v>1</v>
      </c>
      <c r="O38">
        <v>9559</v>
      </c>
      <c r="P38">
        <v>9379</v>
      </c>
      <c r="Q38">
        <v>0.98116957840778329</v>
      </c>
    </row>
    <row r="39" spans="1:17" x14ac:dyDescent="0.55000000000000004">
      <c r="A39" t="s">
        <v>115</v>
      </c>
      <c r="B39" t="s">
        <v>116</v>
      </c>
      <c r="C39" t="s">
        <v>79</v>
      </c>
      <c r="D39" t="s">
        <v>67</v>
      </c>
      <c r="E39" s="1">
        <v>45331</v>
      </c>
      <c r="F39" s="1">
        <v>45479</v>
      </c>
      <c r="G39" t="s">
        <v>95</v>
      </c>
      <c r="H39" t="s">
        <v>22</v>
      </c>
      <c r="I39" t="s">
        <v>29</v>
      </c>
      <c r="J39" t="s">
        <v>118</v>
      </c>
      <c r="K39" t="s">
        <v>25</v>
      </c>
      <c r="L39" t="s">
        <v>26</v>
      </c>
      <c r="M39">
        <v>38</v>
      </c>
      <c r="N39">
        <v>0.28000000000000003</v>
      </c>
      <c r="O39">
        <v>4795</v>
      </c>
      <c r="P39">
        <v>0</v>
      </c>
      <c r="Q39">
        <v>0</v>
      </c>
    </row>
    <row r="40" spans="1:17" x14ac:dyDescent="0.55000000000000004">
      <c r="A40" t="s">
        <v>115</v>
      </c>
      <c r="B40" t="s">
        <v>116</v>
      </c>
      <c r="C40" t="s">
        <v>79</v>
      </c>
      <c r="D40" t="s">
        <v>45</v>
      </c>
      <c r="E40" s="1">
        <v>45331</v>
      </c>
      <c r="F40" s="1">
        <v>45501</v>
      </c>
      <c r="G40" t="s">
        <v>95</v>
      </c>
      <c r="H40" t="s">
        <v>22</v>
      </c>
      <c r="I40" t="s">
        <v>33</v>
      </c>
      <c r="J40" t="s">
        <v>119</v>
      </c>
      <c r="K40" t="s">
        <v>25</v>
      </c>
      <c r="L40" t="s">
        <v>48</v>
      </c>
      <c r="M40">
        <v>6</v>
      </c>
      <c r="N40">
        <v>0.55000000000000004</v>
      </c>
      <c r="O40">
        <v>5258</v>
      </c>
      <c r="P40">
        <v>0</v>
      </c>
      <c r="Q40">
        <v>0</v>
      </c>
    </row>
    <row r="41" spans="1:17" x14ac:dyDescent="0.55000000000000004">
      <c r="A41" t="s">
        <v>120</v>
      </c>
      <c r="B41" t="s">
        <v>121</v>
      </c>
      <c r="C41" t="s">
        <v>19</v>
      </c>
      <c r="D41" t="s">
        <v>32</v>
      </c>
      <c r="E41" s="1">
        <v>45503</v>
      </c>
      <c r="F41" s="1">
        <v>45646</v>
      </c>
      <c r="G41" t="s">
        <v>21</v>
      </c>
      <c r="H41" t="s">
        <v>46</v>
      </c>
      <c r="I41" t="s">
        <v>23</v>
      </c>
      <c r="J41" t="s">
        <v>122</v>
      </c>
      <c r="K41" t="s">
        <v>25</v>
      </c>
      <c r="L41" t="s">
        <v>53</v>
      </c>
      <c r="M41">
        <v>31</v>
      </c>
      <c r="N41">
        <v>0.1</v>
      </c>
      <c r="O41">
        <v>8531</v>
      </c>
      <c r="P41">
        <v>0</v>
      </c>
      <c r="Q41">
        <v>0</v>
      </c>
    </row>
    <row r="42" spans="1:17" x14ac:dyDescent="0.55000000000000004">
      <c r="A42" t="s">
        <v>120</v>
      </c>
      <c r="B42" t="s">
        <v>121</v>
      </c>
      <c r="C42" t="s">
        <v>19</v>
      </c>
      <c r="D42" t="s">
        <v>32</v>
      </c>
      <c r="E42" s="1">
        <v>45503</v>
      </c>
      <c r="F42" s="1">
        <v>45687</v>
      </c>
      <c r="G42" t="s">
        <v>21</v>
      </c>
      <c r="H42" t="s">
        <v>46</v>
      </c>
      <c r="I42" t="s">
        <v>29</v>
      </c>
      <c r="J42" t="s">
        <v>123</v>
      </c>
      <c r="K42" t="s">
        <v>42</v>
      </c>
      <c r="L42" t="s">
        <v>31</v>
      </c>
      <c r="M42">
        <v>8</v>
      </c>
      <c r="N42">
        <v>0.82</v>
      </c>
      <c r="O42">
        <v>3564</v>
      </c>
      <c r="P42">
        <v>0</v>
      </c>
      <c r="Q42">
        <v>0</v>
      </c>
    </row>
    <row r="43" spans="1:17" x14ac:dyDescent="0.55000000000000004">
      <c r="A43" t="s">
        <v>120</v>
      </c>
      <c r="B43" t="s">
        <v>121</v>
      </c>
      <c r="C43" t="s">
        <v>19</v>
      </c>
      <c r="D43" t="s">
        <v>27</v>
      </c>
      <c r="E43" s="1">
        <v>45503</v>
      </c>
      <c r="F43" s="1">
        <v>45655</v>
      </c>
      <c r="G43" t="s">
        <v>21</v>
      </c>
      <c r="H43" t="s">
        <v>22</v>
      </c>
      <c r="I43" t="s">
        <v>33</v>
      </c>
      <c r="J43" t="s">
        <v>124</v>
      </c>
      <c r="K43" t="s">
        <v>42</v>
      </c>
      <c r="L43" t="s">
        <v>31</v>
      </c>
      <c r="M43">
        <v>6</v>
      </c>
      <c r="N43">
        <v>0.22</v>
      </c>
      <c r="O43">
        <v>6213</v>
      </c>
      <c r="P43">
        <v>0</v>
      </c>
      <c r="Q43">
        <v>0</v>
      </c>
    </row>
    <row r="44" spans="1:17" x14ac:dyDescent="0.55000000000000004">
      <c r="A44" t="s">
        <v>125</v>
      </c>
      <c r="B44" t="s">
        <v>126</v>
      </c>
      <c r="C44" t="s">
        <v>79</v>
      </c>
      <c r="D44" t="s">
        <v>91</v>
      </c>
      <c r="E44" s="1">
        <v>45368</v>
      </c>
      <c r="F44" s="1">
        <v>45401</v>
      </c>
      <c r="G44" t="s">
        <v>95</v>
      </c>
      <c r="H44" t="s">
        <v>28</v>
      </c>
      <c r="I44" t="s">
        <v>23</v>
      </c>
      <c r="J44" t="s">
        <v>127</v>
      </c>
      <c r="K44" t="s">
        <v>35</v>
      </c>
      <c r="L44" t="s">
        <v>81</v>
      </c>
      <c r="M44">
        <v>8</v>
      </c>
      <c r="N44">
        <v>1</v>
      </c>
      <c r="O44">
        <v>4714</v>
      </c>
      <c r="P44">
        <v>4608</v>
      </c>
      <c r="Q44">
        <v>0.97751378871446759</v>
      </c>
    </row>
    <row r="45" spans="1:17" x14ac:dyDescent="0.55000000000000004">
      <c r="A45" t="s">
        <v>125</v>
      </c>
      <c r="B45" t="s">
        <v>126</v>
      </c>
      <c r="C45" t="s">
        <v>79</v>
      </c>
      <c r="D45" t="s">
        <v>27</v>
      </c>
      <c r="E45" s="1">
        <v>45368</v>
      </c>
      <c r="F45" s="1">
        <v>45401</v>
      </c>
      <c r="G45" t="s">
        <v>95</v>
      </c>
      <c r="H45" t="s">
        <v>22</v>
      </c>
      <c r="I45" t="s">
        <v>29</v>
      </c>
      <c r="J45" t="s">
        <v>128</v>
      </c>
      <c r="K45" t="s">
        <v>35</v>
      </c>
      <c r="L45" t="s">
        <v>31</v>
      </c>
      <c r="M45">
        <v>4</v>
      </c>
      <c r="N45">
        <v>1</v>
      </c>
      <c r="O45">
        <v>1026</v>
      </c>
      <c r="P45">
        <v>528</v>
      </c>
      <c r="Q45">
        <v>0.51461988304093564</v>
      </c>
    </row>
    <row r="46" spans="1:17" x14ac:dyDescent="0.55000000000000004">
      <c r="A46" t="s">
        <v>125</v>
      </c>
      <c r="B46" t="s">
        <v>126</v>
      </c>
      <c r="C46" t="s">
        <v>79</v>
      </c>
      <c r="D46" t="s">
        <v>74</v>
      </c>
      <c r="E46" s="1">
        <v>45368</v>
      </c>
      <c r="F46" s="1">
        <v>45401</v>
      </c>
      <c r="G46" t="s">
        <v>95</v>
      </c>
      <c r="H46" t="s">
        <v>28</v>
      </c>
      <c r="I46" t="s">
        <v>33</v>
      </c>
      <c r="J46" t="s">
        <v>129</v>
      </c>
      <c r="K46" t="s">
        <v>35</v>
      </c>
      <c r="L46" t="s">
        <v>26</v>
      </c>
      <c r="M46">
        <v>22</v>
      </c>
      <c r="N46">
        <v>1</v>
      </c>
      <c r="O46">
        <v>5365</v>
      </c>
      <c r="P46">
        <v>5232</v>
      </c>
      <c r="Q46">
        <v>0.97520969245107181</v>
      </c>
    </row>
    <row r="47" spans="1:17" x14ac:dyDescent="0.55000000000000004">
      <c r="A47" t="s">
        <v>130</v>
      </c>
      <c r="B47" t="s">
        <v>131</v>
      </c>
      <c r="C47" t="s">
        <v>19</v>
      </c>
      <c r="D47" t="s">
        <v>91</v>
      </c>
      <c r="E47" s="1">
        <v>45340</v>
      </c>
      <c r="F47" s="1">
        <v>45560</v>
      </c>
      <c r="G47" t="s">
        <v>35</v>
      </c>
      <c r="H47" t="s">
        <v>22</v>
      </c>
      <c r="I47" t="s">
        <v>23</v>
      </c>
      <c r="J47" t="s">
        <v>132</v>
      </c>
      <c r="K47" t="s">
        <v>35</v>
      </c>
      <c r="L47" t="s">
        <v>26</v>
      </c>
      <c r="M47">
        <v>5</v>
      </c>
      <c r="N47">
        <v>1</v>
      </c>
      <c r="O47">
        <v>3688</v>
      </c>
      <c r="P47">
        <v>3610</v>
      </c>
      <c r="Q47">
        <v>0.97885032537960959</v>
      </c>
    </row>
    <row r="48" spans="1:17" x14ac:dyDescent="0.55000000000000004">
      <c r="A48" t="s">
        <v>130</v>
      </c>
      <c r="B48" t="s">
        <v>131</v>
      </c>
      <c r="C48" t="s">
        <v>19</v>
      </c>
      <c r="D48" t="s">
        <v>20</v>
      </c>
      <c r="E48" s="1">
        <v>45340</v>
      </c>
      <c r="F48" s="1">
        <v>45587</v>
      </c>
      <c r="G48" t="s">
        <v>35</v>
      </c>
      <c r="H48" t="s">
        <v>28</v>
      </c>
      <c r="I48" t="s">
        <v>29</v>
      </c>
      <c r="J48" t="s">
        <v>133</v>
      </c>
      <c r="K48" t="s">
        <v>42</v>
      </c>
      <c r="L48" t="s">
        <v>107</v>
      </c>
      <c r="M48">
        <v>27</v>
      </c>
      <c r="N48">
        <v>0.38</v>
      </c>
      <c r="O48">
        <v>3233</v>
      </c>
      <c r="P48">
        <v>0</v>
      </c>
      <c r="Q48">
        <v>0</v>
      </c>
    </row>
    <row r="49" spans="1:17" x14ac:dyDescent="0.55000000000000004">
      <c r="A49" t="s">
        <v>130</v>
      </c>
      <c r="B49" t="s">
        <v>131</v>
      </c>
      <c r="C49" t="s">
        <v>19</v>
      </c>
      <c r="D49" t="s">
        <v>82</v>
      </c>
      <c r="E49" s="1">
        <v>45340</v>
      </c>
      <c r="F49" s="1">
        <v>45550</v>
      </c>
      <c r="G49" t="s">
        <v>35</v>
      </c>
      <c r="H49" t="s">
        <v>22</v>
      </c>
      <c r="I49" t="s">
        <v>33</v>
      </c>
      <c r="J49" t="s">
        <v>134</v>
      </c>
      <c r="K49" t="s">
        <v>42</v>
      </c>
      <c r="L49" t="s">
        <v>107</v>
      </c>
      <c r="M49">
        <v>25</v>
      </c>
      <c r="N49">
        <v>0.55000000000000004</v>
      </c>
      <c r="O49">
        <v>8366</v>
      </c>
      <c r="P49">
        <v>0</v>
      </c>
      <c r="Q49">
        <v>0</v>
      </c>
    </row>
    <row r="50" spans="1:17" x14ac:dyDescent="0.55000000000000004">
      <c r="A50" t="s">
        <v>135</v>
      </c>
      <c r="B50" t="s">
        <v>136</v>
      </c>
      <c r="C50" t="s">
        <v>38</v>
      </c>
      <c r="D50" t="s">
        <v>54</v>
      </c>
      <c r="E50" s="1">
        <v>45384</v>
      </c>
      <c r="F50" s="1">
        <v>45590</v>
      </c>
      <c r="G50" t="s">
        <v>40</v>
      </c>
      <c r="H50" t="s">
        <v>46</v>
      </c>
      <c r="I50" t="s">
        <v>23</v>
      </c>
      <c r="J50" t="s">
        <v>137</v>
      </c>
      <c r="K50" t="s">
        <v>42</v>
      </c>
      <c r="L50" t="s">
        <v>107</v>
      </c>
      <c r="M50">
        <v>40</v>
      </c>
      <c r="N50">
        <v>0.87</v>
      </c>
      <c r="O50">
        <v>1856</v>
      </c>
      <c r="P50">
        <v>0</v>
      </c>
      <c r="Q50">
        <v>0</v>
      </c>
    </row>
    <row r="51" spans="1:17" x14ac:dyDescent="0.55000000000000004">
      <c r="A51" t="s">
        <v>135</v>
      </c>
      <c r="B51" t="s">
        <v>136</v>
      </c>
      <c r="C51" t="s">
        <v>38</v>
      </c>
      <c r="D51" t="s">
        <v>87</v>
      </c>
      <c r="E51" s="1">
        <v>45384</v>
      </c>
      <c r="F51" s="1">
        <v>45558</v>
      </c>
      <c r="G51" t="s">
        <v>40</v>
      </c>
      <c r="H51" t="s">
        <v>28</v>
      </c>
      <c r="I51" t="s">
        <v>29</v>
      </c>
      <c r="J51" t="s">
        <v>138</v>
      </c>
      <c r="K51" t="s">
        <v>35</v>
      </c>
      <c r="L51" t="s">
        <v>31</v>
      </c>
      <c r="M51">
        <v>34</v>
      </c>
      <c r="N51">
        <v>1</v>
      </c>
      <c r="O51">
        <v>5620</v>
      </c>
      <c r="P51">
        <v>5481</v>
      </c>
      <c r="Q51">
        <v>0.9752669039145907</v>
      </c>
    </row>
    <row r="52" spans="1:17" x14ac:dyDescent="0.55000000000000004">
      <c r="A52" t="s">
        <v>135</v>
      </c>
      <c r="B52" t="s">
        <v>136</v>
      </c>
      <c r="C52" t="s">
        <v>38</v>
      </c>
      <c r="D52" t="s">
        <v>91</v>
      </c>
      <c r="E52" s="1">
        <v>45384</v>
      </c>
      <c r="F52" s="1">
        <v>45579</v>
      </c>
      <c r="G52" t="s">
        <v>40</v>
      </c>
      <c r="H52" t="s">
        <v>28</v>
      </c>
      <c r="I52" t="s">
        <v>33</v>
      </c>
      <c r="J52" t="s">
        <v>139</v>
      </c>
      <c r="K52" t="s">
        <v>25</v>
      </c>
      <c r="L52" t="s">
        <v>48</v>
      </c>
      <c r="M52">
        <v>18</v>
      </c>
      <c r="N52">
        <v>0.62</v>
      </c>
      <c r="O52">
        <v>1904</v>
      </c>
      <c r="P52">
        <v>0</v>
      </c>
      <c r="Q52">
        <v>0</v>
      </c>
    </row>
    <row r="53" spans="1:17" x14ac:dyDescent="0.55000000000000004">
      <c r="A53" t="s">
        <v>140</v>
      </c>
      <c r="B53" t="s">
        <v>141</v>
      </c>
      <c r="C53" t="s">
        <v>51</v>
      </c>
      <c r="D53" t="s">
        <v>32</v>
      </c>
      <c r="E53" s="1">
        <v>45331</v>
      </c>
      <c r="F53" s="1">
        <v>45356</v>
      </c>
      <c r="G53" t="s">
        <v>21</v>
      </c>
      <c r="H53" t="s">
        <v>22</v>
      </c>
      <c r="I53" t="s">
        <v>23</v>
      </c>
      <c r="J53" t="s">
        <v>142</v>
      </c>
      <c r="K53" t="s">
        <v>25</v>
      </c>
      <c r="L53" t="s">
        <v>53</v>
      </c>
      <c r="M53">
        <v>26</v>
      </c>
      <c r="N53">
        <v>0.66</v>
      </c>
      <c r="O53">
        <v>5908</v>
      </c>
      <c r="P53">
        <v>0</v>
      </c>
      <c r="Q53">
        <v>0</v>
      </c>
    </row>
    <row r="54" spans="1:17" x14ac:dyDescent="0.55000000000000004">
      <c r="A54" t="s">
        <v>140</v>
      </c>
      <c r="B54" t="s">
        <v>141</v>
      </c>
      <c r="C54" t="s">
        <v>51</v>
      </c>
      <c r="D54" t="s">
        <v>74</v>
      </c>
      <c r="E54" s="1">
        <v>45331</v>
      </c>
      <c r="F54" s="1">
        <v>45352</v>
      </c>
      <c r="G54" t="s">
        <v>21</v>
      </c>
      <c r="H54" t="s">
        <v>22</v>
      </c>
      <c r="I54" t="s">
        <v>29</v>
      </c>
      <c r="J54" t="s">
        <v>143</v>
      </c>
      <c r="K54" t="s">
        <v>25</v>
      </c>
      <c r="L54" t="s">
        <v>53</v>
      </c>
      <c r="M54">
        <v>37</v>
      </c>
      <c r="N54">
        <v>0.54</v>
      </c>
      <c r="O54">
        <v>2176</v>
      </c>
      <c r="P54">
        <v>0</v>
      </c>
      <c r="Q54">
        <v>0</v>
      </c>
    </row>
    <row r="55" spans="1:17" x14ac:dyDescent="0.55000000000000004">
      <c r="A55" t="s">
        <v>140</v>
      </c>
      <c r="B55" t="s">
        <v>141</v>
      </c>
      <c r="C55" t="s">
        <v>51</v>
      </c>
      <c r="D55" t="s">
        <v>39</v>
      </c>
      <c r="E55" s="1">
        <v>45331</v>
      </c>
      <c r="F55" s="1">
        <v>45347</v>
      </c>
      <c r="G55" t="s">
        <v>21</v>
      </c>
      <c r="H55" t="s">
        <v>22</v>
      </c>
      <c r="I55" t="s">
        <v>33</v>
      </c>
      <c r="J55" t="s">
        <v>144</v>
      </c>
      <c r="K55" t="s">
        <v>42</v>
      </c>
      <c r="L55" t="s">
        <v>53</v>
      </c>
      <c r="M55">
        <v>7</v>
      </c>
      <c r="N55">
        <v>0.2</v>
      </c>
      <c r="O55">
        <v>9002</v>
      </c>
      <c r="P55">
        <v>0</v>
      </c>
      <c r="Q55">
        <v>0</v>
      </c>
    </row>
    <row r="56" spans="1:17" x14ac:dyDescent="0.55000000000000004">
      <c r="A56" t="s">
        <v>145</v>
      </c>
      <c r="B56" t="s">
        <v>146</v>
      </c>
      <c r="C56" t="s">
        <v>60</v>
      </c>
      <c r="D56" t="s">
        <v>20</v>
      </c>
      <c r="E56" s="1">
        <v>45453</v>
      </c>
      <c r="F56" s="1">
        <v>45656</v>
      </c>
      <c r="G56" t="s">
        <v>21</v>
      </c>
      <c r="H56" t="s">
        <v>28</v>
      </c>
      <c r="I56" t="s">
        <v>23</v>
      </c>
      <c r="J56" t="s">
        <v>147</v>
      </c>
      <c r="K56" t="s">
        <v>42</v>
      </c>
      <c r="L56" t="s">
        <v>53</v>
      </c>
      <c r="M56">
        <v>11</v>
      </c>
      <c r="N56">
        <v>0.61</v>
      </c>
      <c r="O56">
        <v>6821</v>
      </c>
      <c r="P56">
        <v>0</v>
      </c>
      <c r="Q56">
        <v>0</v>
      </c>
    </row>
    <row r="57" spans="1:17" x14ac:dyDescent="0.55000000000000004">
      <c r="A57" t="s">
        <v>145</v>
      </c>
      <c r="B57" t="s">
        <v>146</v>
      </c>
      <c r="C57" t="s">
        <v>60</v>
      </c>
      <c r="D57" t="s">
        <v>32</v>
      </c>
      <c r="E57" s="1">
        <v>45453</v>
      </c>
      <c r="F57" s="1">
        <v>45560</v>
      </c>
      <c r="G57" t="s">
        <v>21</v>
      </c>
      <c r="H57" t="s">
        <v>22</v>
      </c>
      <c r="I57" t="s">
        <v>29</v>
      </c>
      <c r="J57" t="s">
        <v>148</v>
      </c>
      <c r="K57" t="s">
        <v>35</v>
      </c>
      <c r="L57" t="s">
        <v>81</v>
      </c>
      <c r="M57">
        <v>1</v>
      </c>
      <c r="N57">
        <v>1</v>
      </c>
      <c r="O57">
        <v>7324</v>
      </c>
      <c r="P57">
        <v>7263</v>
      </c>
      <c r="Q57">
        <v>0.99167121791370838</v>
      </c>
    </row>
    <row r="58" spans="1:17" x14ac:dyDescent="0.55000000000000004">
      <c r="A58" t="s">
        <v>145</v>
      </c>
      <c r="B58" t="s">
        <v>146</v>
      </c>
      <c r="C58" t="s">
        <v>60</v>
      </c>
      <c r="D58" t="s">
        <v>91</v>
      </c>
      <c r="E58" s="1">
        <v>45453</v>
      </c>
      <c r="F58" s="1">
        <v>45650</v>
      </c>
      <c r="G58" t="s">
        <v>21</v>
      </c>
      <c r="H58" t="s">
        <v>22</v>
      </c>
      <c r="I58" t="s">
        <v>33</v>
      </c>
      <c r="J58" t="s">
        <v>149</v>
      </c>
      <c r="K58" t="s">
        <v>42</v>
      </c>
      <c r="L58" t="s">
        <v>31</v>
      </c>
      <c r="M58">
        <v>13</v>
      </c>
      <c r="N58">
        <v>0.46</v>
      </c>
      <c r="O58">
        <v>3099</v>
      </c>
      <c r="P58">
        <v>0</v>
      </c>
      <c r="Q58">
        <v>0</v>
      </c>
    </row>
    <row r="59" spans="1:17" x14ac:dyDescent="0.55000000000000004">
      <c r="A59" t="s">
        <v>150</v>
      </c>
      <c r="B59" t="s">
        <v>151</v>
      </c>
      <c r="C59" t="s">
        <v>66</v>
      </c>
      <c r="D59" t="s">
        <v>67</v>
      </c>
      <c r="E59" s="1">
        <v>45392</v>
      </c>
      <c r="F59" s="1">
        <v>45476</v>
      </c>
      <c r="G59" t="s">
        <v>35</v>
      </c>
      <c r="H59" t="s">
        <v>22</v>
      </c>
      <c r="I59" t="s">
        <v>23</v>
      </c>
      <c r="J59" t="s">
        <v>152</v>
      </c>
      <c r="K59" t="s">
        <v>35</v>
      </c>
      <c r="L59" t="s">
        <v>107</v>
      </c>
      <c r="M59">
        <v>18</v>
      </c>
      <c r="N59">
        <v>1</v>
      </c>
      <c r="O59">
        <v>7962</v>
      </c>
      <c r="P59">
        <v>7526</v>
      </c>
      <c r="Q59">
        <v>0.94523988947500626</v>
      </c>
    </row>
    <row r="60" spans="1:17" x14ac:dyDescent="0.55000000000000004">
      <c r="A60" t="s">
        <v>150</v>
      </c>
      <c r="B60" t="s">
        <v>151</v>
      </c>
      <c r="C60" t="s">
        <v>66</v>
      </c>
      <c r="D60" t="s">
        <v>45</v>
      </c>
      <c r="E60" s="1">
        <v>45392</v>
      </c>
      <c r="F60" s="1">
        <v>45506</v>
      </c>
      <c r="G60" t="s">
        <v>35</v>
      </c>
      <c r="H60" t="s">
        <v>28</v>
      </c>
      <c r="I60" t="s">
        <v>29</v>
      </c>
      <c r="J60" t="s">
        <v>153</v>
      </c>
      <c r="K60" t="s">
        <v>25</v>
      </c>
      <c r="L60" t="s">
        <v>53</v>
      </c>
      <c r="M60">
        <v>36</v>
      </c>
      <c r="N60">
        <v>0.84</v>
      </c>
      <c r="O60">
        <v>7221</v>
      </c>
      <c r="P60">
        <v>0</v>
      </c>
      <c r="Q60">
        <v>0</v>
      </c>
    </row>
    <row r="61" spans="1:17" x14ac:dyDescent="0.55000000000000004">
      <c r="A61" t="s">
        <v>150</v>
      </c>
      <c r="B61" t="s">
        <v>151</v>
      </c>
      <c r="C61" t="s">
        <v>66</v>
      </c>
      <c r="D61" t="s">
        <v>67</v>
      </c>
      <c r="E61" s="1">
        <v>45392</v>
      </c>
      <c r="F61" s="1">
        <v>45475</v>
      </c>
      <c r="G61" t="s">
        <v>35</v>
      </c>
      <c r="H61" t="s">
        <v>28</v>
      </c>
      <c r="I61" t="s">
        <v>33</v>
      </c>
      <c r="J61" t="s">
        <v>154</v>
      </c>
      <c r="K61" t="s">
        <v>42</v>
      </c>
      <c r="L61" t="s">
        <v>53</v>
      </c>
      <c r="M61">
        <v>24</v>
      </c>
      <c r="N61">
        <v>0.11</v>
      </c>
      <c r="O61">
        <v>7256</v>
      </c>
      <c r="P61">
        <v>0</v>
      </c>
      <c r="Q61">
        <v>0</v>
      </c>
    </row>
    <row r="62" spans="1:17" x14ac:dyDescent="0.55000000000000004">
      <c r="A62" t="s">
        <v>155</v>
      </c>
      <c r="B62" t="s">
        <v>156</v>
      </c>
      <c r="C62" t="s">
        <v>19</v>
      </c>
      <c r="D62" t="s">
        <v>74</v>
      </c>
      <c r="E62" s="1">
        <v>45372</v>
      </c>
      <c r="F62" s="1">
        <v>45641</v>
      </c>
      <c r="G62" t="s">
        <v>21</v>
      </c>
      <c r="H62" t="s">
        <v>28</v>
      </c>
      <c r="I62" t="s">
        <v>23</v>
      </c>
      <c r="J62" t="s">
        <v>157</v>
      </c>
      <c r="K62" t="s">
        <v>25</v>
      </c>
      <c r="L62" t="s">
        <v>48</v>
      </c>
      <c r="M62">
        <v>26</v>
      </c>
      <c r="N62">
        <v>0.43</v>
      </c>
      <c r="O62">
        <v>8483</v>
      </c>
      <c r="P62">
        <v>0</v>
      </c>
      <c r="Q62">
        <v>0</v>
      </c>
    </row>
    <row r="63" spans="1:17" x14ac:dyDescent="0.55000000000000004">
      <c r="A63" t="s">
        <v>155</v>
      </c>
      <c r="B63" t="s">
        <v>156</v>
      </c>
      <c r="C63" t="s">
        <v>19</v>
      </c>
      <c r="D63" t="s">
        <v>67</v>
      </c>
      <c r="E63" s="1">
        <v>45372</v>
      </c>
      <c r="F63" s="1">
        <v>45560</v>
      </c>
      <c r="G63" t="s">
        <v>21</v>
      </c>
      <c r="H63" t="s">
        <v>28</v>
      </c>
      <c r="I63" t="s">
        <v>29</v>
      </c>
      <c r="J63" t="s">
        <v>158</v>
      </c>
      <c r="K63" t="s">
        <v>35</v>
      </c>
      <c r="L63" t="s">
        <v>56</v>
      </c>
      <c r="M63">
        <v>21</v>
      </c>
      <c r="N63">
        <v>1</v>
      </c>
      <c r="O63">
        <v>2463</v>
      </c>
      <c r="P63">
        <v>2091</v>
      </c>
      <c r="Q63">
        <v>0.84896467722289892</v>
      </c>
    </row>
    <row r="64" spans="1:17" x14ac:dyDescent="0.55000000000000004">
      <c r="A64" t="s">
        <v>155</v>
      </c>
      <c r="B64" t="s">
        <v>156</v>
      </c>
      <c r="C64" t="s">
        <v>19</v>
      </c>
      <c r="D64" t="s">
        <v>91</v>
      </c>
      <c r="E64" s="1">
        <v>45372</v>
      </c>
      <c r="F64" s="1">
        <v>45555</v>
      </c>
      <c r="G64" t="s">
        <v>21</v>
      </c>
      <c r="H64" t="s">
        <v>28</v>
      </c>
      <c r="I64" t="s">
        <v>33</v>
      </c>
      <c r="J64" t="s">
        <v>159</v>
      </c>
      <c r="K64" t="s">
        <v>35</v>
      </c>
      <c r="L64" t="s">
        <v>81</v>
      </c>
      <c r="M64">
        <v>15</v>
      </c>
      <c r="N64">
        <v>1</v>
      </c>
      <c r="O64">
        <v>8372</v>
      </c>
      <c r="P64">
        <v>7940</v>
      </c>
      <c r="Q64">
        <v>0.9483994266602962</v>
      </c>
    </row>
    <row r="65" spans="1:17" x14ac:dyDescent="0.55000000000000004">
      <c r="A65" t="s">
        <v>160</v>
      </c>
      <c r="B65" t="s">
        <v>161</v>
      </c>
      <c r="C65" t="s">
        <v>79</v>
      </c>
      <c r="D65" t="s">
        <v>67</v>
      </c>
      <c r="E65" s="1">
        <v>45300</v>
      </c>
      <c r="F65" s="1">
        <v>45393</v>
      </c>
      <c r="G65" t="s">
        <v>40</v>
      </c>
      <c r="H65" t="s">
        <v>28</v>
      </c>
      <c r="I65" t="s">
        <v>23</v>
      </c>
      <c r="J65" t="s">
        <v>162</v>
      </c>
      <c r="K65" t="s">
        <v>25</v>
      </c>
      <c r="L65" t="s">
        <v>81</v>
      </c>
      <c r="M65">
        <v>6</v>
      </c>
      <c r="N65">
        <v>0.68</v>
      </c>
      <c r="O65">
        <v>8903</v>
      </c>
      <c r="P65">
        <v>0</v>
      </c>
      <c r="Q65">
        <v>0</v>
      </c>
    </row>
    <row r="66" spans="1:17" x14ac:dyDescent="0.55000000000000004">
      <c r="A66" t="s">
        <v>160</v>
      </c>
      <c r="B66" t="s">
        <v>161</v>
      </c>
      <c r="C66" t="s">
        <v>79</v>
      </c>
      <c r="D66" t="s">
        <v>45</v>
      </c>
      <c r="E66" s="1">
        <v>45300</v>
      </c>
      <c r="F66" s="1">
        <v>45410</v>
      </c>
      <c r="G66" t="s">
        <v>40</v>
      </c>
      <c r="H66" t="s">
        <v>22</v>
      </c>
      <c r="I66" t="s">
        <v>29</v>
      </c>
      <c r="J66" t="s">
        <v>163</v>
      </c>
      <c r="K66" t="s">
        <v>25</v>
      </c>
      <c r="L66" t="s">
        <v>53</v>
      </c>
      <c r="M66">
        <v>7</v>
      </c>
      <c r="N66">
        <v>0.28000000000000003</v>
      </c>
      <c r="O66">
        <v>1255</v>
      </c>
      <c r="P66">
        <v>0</v>
      </c>
      <c r="Q66">
        <v>0</v>
      </c>
    </row>
    <row r="67" spans="1:17" x14ac:dyDescent="0.55000000000000004">
      <c r="A67" t="s">
        <v>160</v>
      </c>
      <c r="B67" t="s">
        <v>161</v>
      </c>
      <c r="C67" t="s">
        <v>79</v>
      </c>
      <c r="D67" t="s">
        <v>54</v>
      </c>
      <c r="E67" s="1">
        <v>45300</v>
      </c>
      <c r="F67" s="1">
        <v>45406</v>
      </c>
      <c r="G67" t="s">
        <v>40</v>
      </c>
      <c r="H67" t="s">
        <v>28</v>
      </c>
      <c r="I67" t="s">
        <v>33</v>
      </c>
      <c r="J67" t="s">
        <v>164</v>
      </c>
      <c r="K67" t="s">
        <v>25</v>
      </c>
      <c r="L67" t="s">
        <v>81</v>
      </c>
      <c r="M67">
        <v>18</v>
      </c>
      <c r="N67">
        <v>0.77</v>
      </c>
      <c r="O67">
        <v>1424</v>
      </c>
      <c r="P67">
        <v>2183</v>
      </c>
      <c r="Q67">
        <v>1.533005617977528</v>
      </c>
    </row>
    <row r="68" spans="1:17" x14ac:dyDescent="0.55000000000000004">
      <c r="A68" t="s">
        <v>165</v>
      </c>
      <c r="B68" t="s">
        <v>166</v>
      </c>
      <c r="C68" t="s">
        <v>51</v>
      </c>
      <c r="D68" t="s">
        <v>54</v>
      </c>
      <c r="E68" s="1">
        <v>45295</v>
      </c>
      <c r="F68" s="1">
        <v>45430</v>
      </c>
      <c r="G68" t="s">
        <v>21</v>
      </c>
      <c r="H68" t="s">
        <v>28</v>
      </c>
      <c r="I68" t="s">
        <v>23</v>
      </c>
      <c r="J68" t="s">
        <v>167</v>
      </c>
      <c r="K68" t="s">
        <v>42</v>
      </c>
      <c r="L68" t="s">
        <v>48</v>
      </c>
      <c r="M68">
        <v>17</v>
      </c>
      <c r="N68">
        <v>0.45</v>
      </c>
      <c r="O68">
        <v>3662</v>
      </c>
      <c r="P68">
        <v>0</v>
      </c>
      <c r="Q68">
        <v>0</v>
      </c>
    </row>
    <row r="69" spans="1:17" x14ac:dyDescent="0.55000000000000004">
      <c r="A69" t="s">
        <v>165</v>
      </c>
      <c r="B69" t="s">
        <v>166</v>
      </c>
      <c r="C69" t="s">
        <v>51</v>
      </c>
      <c r="D69" t="s">
        <v>74</v>
      </c>
      <c r="E69" s="1">
        <v>45295</v>
      </c>
      <c r="F69" s="1">
        <v>45444</v>
      </c>
      <c r="G69" t="s">
        <v>21</v>
      </c>
      <c r="H69" t="s">
        <v>22</v>
      </c>
      <c r="I69" t="s">
        <v>29</v>
      </c>
      <c r="J69" t="s">
        <v>168</v>
      </c>
      <c r="K69" t="s">
        <v>42</v>
      </c>
      <c r="L69" t="s">
        <v>31</v>
      </c>
      <c r="M69">
        <v>27</v>
      </c>
      <c r="N69">
        <v>0.02</v>
      </c>
      <c r="O69">
        <v>2437</v>
      </c>
      <c r="P69">
        <v>0</v>
      </c>
      <c r="Q69">
        <v>0</v>
      </c>
    </row>
    <row r="70" spans="1:17" x14ac:dyDescent="0.55000000000000004">
      <c r="A70" t="s">
        <v>165</v>
      </c>
      <c r="B70" t="s">
        <v>166</v>
      </c>
      <c r="C70" t="s">
        <v>51</v>
      </c>
      <c r="D70" t="s">
        <v>87</v>
      </c>
      <c r="E70" s="1">
        <v>45295</v>
      </c>
      <c r="F70" s="1">
        <v>45392</v>
      </c>
      <c r="G70" t="s">
        <v>21</v>
      </c>
      <c r="H70" t="s">
        <v>46</v>
      </c>
      <c r="I70" t="s">
        <v>33</v>
      </c>
      <c r="J70" t="s">
        <v>169</v>
      </c>
      <c r="K70" t="s">
        <v>25</v>
      </c>
      <c r="L70" t="s">
        <v>31</v>
      </c>
      <c r="M70">
        <v>19</v>
      </c>
      <c r="N70">
        <v>0.45</v>
      </c>
      <c r="O70">
        <v>7519</v>
      </c>
      <c r="P70">
        <v>0</v>
      </c>
      <c r="Q70">
        <v>0</v>
      </c>
    </row>
    <row r="71" spans="1:17" x14ac:dyDescent="0.55000000000000004">
      <c r="A71" t="s">
        <v>170</v>
      </c>
      <c r="B71" t="s">
        <v>171</v>
      </c>
      <c r="C71" t="s">
        <v>79</v>
      </c>
      <c r="D71" t="s">
        <v>87</v>
      </c>
      <c r="E71" s="1">
        <v>45520</v>
      </c>
      <c r="F71" s="1">
        <v>45533</v>
      </c>
      <c r="G71" t="s">
        <v>35</v>
      </c>
      <c r="H71" t="s">
        <v>22</v>
      </c>
      <c r="I71" t="s">
        <v>23</v>
      </c>
      <c r="J71" t="s">
        <v>172</v>
      </c>
      <c r="K71" t="s">
        <v>25</v>
      </c>
      <c r="L71" t="s">
        <v>31</v>
      </c>
      <c r="M71">
        <v>1</v>
      </c>
      <c r="N71">
        <v>0.05</v>
      </c>
      <c r="O71">
        <v>5955</v>
      </c>
      <c r="P71">
        <v>0</v>
      </c>
      <c r="Q71">
        <v>0</v>
      </c>
    </row>
    <row r="72" spans="1:17" x14ac:dyDescent="0.55000000000000004">
      <c r="A72" t="s">
        <v>170</v>
      </c>
      <c r="B72" t="s">
        <v>171</v>
      </c>
      <c r="C72" t="s">
        <v>79</v>
      </c>
      <c r="D72" t="s">
        <v>82</v>
      </c>
      <c r="E72" s="1">
        <v>45520</v>
      </c>
      <c r="F72" s="1">
        <v>45539</v>
      </c>
      <c r="G72" t="s">
        <v>35</v>
      </c>
      <c r="H72" t="s">
        <v>46</v>
      </c>
      <c r="I72" t="s">
        <v>29</v>
      </c>
      <c r="J72" t="s">
        <v>173</v>
      </c>
      <c r="K72" t="s">
        <v>42</v>
      </c>
      <c r="L72" t="s">
        <v>81</v>
      </c>
      <c r="M72">
        <v>1</v>
      </c>
      <c r="N72">
        <v>0.75</v>
      </c>
      <c r="O72">
        <v>1799</v>
      </c>
      <c r="P72">
        <v>0</v>
      </c>
      <c r="Q72">
        <v>0</v>
      </c>
    </row>
    <row r="73" spans="1:17" x14ac:dyDescent="0.55000000000000004">
      <c r="A73" t="s">
        <v>170</v>
      </c>
      <c r="B73" t="s">
        <v>171</v>
      </c>
      <c r="C73" t="s">
        <v>79</v>
      </c>
      <c r="D73" t="s">
        <v>67</v>
      </c>
      <c r="E73" s="1">
        <v>45520</v>
      </c>
      <c r="F73" s="1">
        <v>45536</v>
      </c>
      <c r="G73" t="s">
        <v>35</v>
      </c>
      <c r="H73" t="s">
        <v>22</v>
      </c>
      <c r="I73" t="s">
        <v>33</v>
      </c>
      <c r="J73" t="s">
        <v>174</v>
      </c>
      <c r="K73" t="s">
        <v>35</v>
      </c>
      <c r="L73" t="s">
        <v>107</v>
      </c>
      <c r="M73">
        <v>24</v>
      </c>
      <c r="N73">
        <v>1</v>
      </c>
      <c r="O73">
        <v>8925</v>
      </c>
      <c r="P73">
        <v>8659</v>
      </c>
      <c r="Q73">
        <v>0.97019607843137257</v>
      </c>
    </row>
    <row r="74" spans="1:17" x14ac:dyDescent="0.55000000000000004">
      <c r="A74" t="s">
        <v>175</v>
      </c>
      <c r="B74" t="s">
        <v>176</v>
      </c>
      <c r="C74" t="s">
        <v>79</v>
      </c>
      <c r="D74" t="s">
        <v>89</v>
      </c>
      <c r="E74" s="1">
        <v>45417</v>
      </c>
      <c r="F74" s="1">
        <v>45493</v>
      </c>
      <c r="G74" t="s">
        <v>95</v>
      </c>
      <c r="H74" t="s">
        <v>28</v>
      </c>
      <c r="I74" t="s">
        <v>23</v>
      </c>
      <c r="J74" t="s">
        <v>177</v>
      </c>
      <c r="K74" t="s">
        <v>35</v>
      </c>
      <c r="L74" t="s">
        <v>48</v>
      </c>
      <c r="M74">
        <v>37</v>
      </c>
      <c r="N74">
        <v>1</v>
      </c>
      <c r="O74">
        <v>8938</v>
      </c>
      <c r="P74">
        <v>8487</v>
      </c>
      <c r="Q74">
        <v>0.94954128440366969</v>
      </c>
    </row>
    <row r="75" spans="1:17" x14ac:dyDescent="0.55000000000000004">
      <c r="A75" t="s">
        <v>175</v>
      </c>
      <c r="B75" t="s">
        <v>176</v>
      </c>
      <c r="C75" t="s">
        <v>79</v>
      </c>
      <c r="D75" t="s">
        <v>27</v>
      </c>
      <c r="E75" s="1">
        <v>45417</v>
      </c>
      <c r="F75" s="1">
        <v>45490</v>
      </c>
      <c r="G75" t="s">
        <v>95</v>
      </c>
      <c r="H75" t="s">
        <v>46</v>
      </c>
      <c r="I75" t="s">
        <v>29</v>
      </c>
      <c r="J75" t="s">
        <v>178</v>
      </c>
      <c r="K75" t="s">
        <v>25</v>
      </c>
      <c r="L75" t="s">
        <v>179</v>
      </c>
      <c r="M75">
        <v>10</v>
      </c>
      <c r="N75">
        <v>0.72</v>
      </c>
      <c r="O75">
        <v>8533</v>
      </c>
      <c r="P75">
        <v>0</v>
      </c>
      <c r="Q75">
        <v>0</v>
      </c>
    </row>
    <row r="76" spans="1:17" x14ac:dyDescent="0.55000000000000004">
      <c r="A76" t="s">
        <v>175</v>
      </c>
      <c r="B76" t="s">
        <v>176</v>
      </c>
      <c r="C76" t="s">
        <v>79</v>
      </c>
      <c r="D76" t="s">
        <v>43</v>
      </c>
      <c r="E76" s="1">
        <v>45417</v>
      </c>
      <c r="F76" s="1">
        <v>45476</v>
      </c>
      <c r="G76" t="s">
        <v>95</v>
      </c>
      <c r="H76" t="s">
        <v>22</v>
      </c>
      <c r="I76" t="s">
        <v>33</v>
      </c>
      <c r="J76" t="s">
        <v>180</v>
      </c>
      <c r="K76" t="s">
        <v>25</v>
      </c>
      <c r="L76" t="s">
        <v>31</v>
      </c>
      <c r="M76">
        <v>16</v>
      </c>
      <c r="N76">
        <v>0.5</v>
      </c>
      <c r="O76">
        <v>8402</v>
      </c>
      <c r="P76">
        <v>0</v>
      </c>
      <c r="Q76">
        <v>0</v>
      </c>
    </row>
    <row r="77" spans="1:17" x14ac:dyDescent="0.55000000000000004">
      <c r="A77" t="s">
        <v>181</v>
      </c>
      <c r="B77" t="s">
        <v>182</v>
      </c>
      <c r="C77" t="s">
        <v>19</v>
      </c>
      <c r="D77" t="s">
        <v>39</v>
      </c>
      <c r="E77" s="1">
        <v>45481</v>
      </c>
      <c r="F77" s="1">
        <v>45777</v>
      </c>
      <c r="G77" t="s">
        <v>95</v>
      </c>
      <c r="H77" t="s">
        <v>46</v>
      </c>
      <c r="I77" t="s">
        <v>23</v>
      </c>
      <c r="J77" t="s">
        <v>183</v>
      </c>
      <c r="K77" t="s">
        <v>25</v>
      </c>
      <c r="L77" t="s">
        <v>107</v>
      </c>
      <c r="M77">
        <v>21</v>
      </c>
      <c r="N77">
        <v>0.1</v>
      </c>
      <c r="O77">
        <v>6524</v>
      </c>
      <c r="P77">
        <v>0</v>
      </c>
      <c r="Q77">
        <v>0</v>
      </c>
    </row>
    <row r="78" spans="1:17" x14ac:dyDescent="0.55000000000000004">
      <c r="A78" t="s">
        <v>181</v>
      </c>
      <c r="B78" t="s">
        <v>182</v>
      </c>
      <c r="C78" t="s">
        <v>19</v>
      </c>
      <c r="D78" t="s">
        <v>87</v>
      </c>
      <c r="E78" s="1">
        <v>45481</v>
      </c>
      <c r="F78" s="1">
        <v>45514</v>
      </c>
      <c r="G78" t="s">
        <v>95</v>
      </c>
      <c r="H78" t="s">
        <v>22</v>
      </c>
      <c r="I78" t="s">
        <v>29</v>
      </c>
      <c r="J78" t="s">
        <v>184</v>
      </c>
      <c r="K78" t="s">
        <v>35</v>
      </c>
      <c r="L78" t="s">
        <v>107</v>
      </c>
      <c r="M78">
        <v>34</v>
      </c>
      <c r="N78">
        <v>1</v>
      </c>
      <c r="O78">
        <v>8061</v>
      </c>
      <c r="P78">
        <v>8002</v>
      </c>
      <c r="Q78">
        <v>0.99268080883265108</v>
      </c>
    </row>
    <row r="79" spans="1:17" x14ac:dyDescent="0.55000000000000004">
      <c r="A79" t="s">
        <v>181</v>
      </c>
      <c r="B79" t="s">
        <v>182</v>
      </c>
      <c r="C79" t="s">
        <v>19</v>
      </c>
      <c r="D79" t="s">
        <v>91</v>
      </c>
      <c r="E79" s="1">
        <v>45481</v>
      </c>
      <c r="F79" s="1">
        <v>45753</v>
      </c>
      <c r="G79" t="s">
        <v>95</v>
      </c>
      <c r="H79" t="s">
        <v>28</v>
      </c>
      <c r="I79" t="s">
        <v>33</v>
      </c>
      <c r="J79" t="s">
        <v>185</v>
      </c>
      <c r="K79" t="s">
        <v>42</v>
      </c>
      <c r="L79" t="s">
        <v>48</v>
      </c>
      <c r="M79">
        <v>3</v>
      </c>
      <c r="N79">
        <v>0.82</v>
      </c>
      <c r="O79">
        <v>2436</v>
      </c>
      <c r="P79">
        <v>0</v>
      </c>
      <c r="Q79">
        <v>0</v>
      </c>
    </row>
    <row r="80" spans="1:17" x14ac:dyDescent="0.55000000000000004">
      <c r="A80" t="s">
        <v>186</v>
      </c>
      <c r="B80" t="s">
        <v>187</v>
      </c>
      <c r="C80" t="s">
        <v>51</v>
      </c>
      <c r="D80" t="s">
        <v>67</v>
      </c>
      <c r="E80" s="1">
        <v>45294</v>
      </c>
      <c r="F80" s="1">
        <v>45654</v>
      </c>
      <c r="G80" t="s">
        <v>35</v>
      </c>
      <c r="H80" t="s">
        <v>28</v>
      </c>
      <c r="I80" t="s">
        <v>23</v>
      </c>
      <c r="J80" t="s">
        <v>188</v>
      </c>
      <c r="K80" t="s">
        <v>25</v>
      </c>
      <c r="L80" t="s">
        <v>56</v>
      </c>
      <c r="M80">
        <v>35</v>
      </c>
      <c r="N80">
        <v>0.84</v>
      </c>
      <c r="O80">
        <v>9670</v>
      </c>
      <c r="P80">
        <v>0</v>
      </c>
      <c r="Q80">
        <v>0</v>
      </c>
    </row>
    <row r="81" spans="1:17" x14ac:dyDescent="0.55000000000000004">
      <c r="A81" t="s">
        <v>186</v>
      </c>
      <c r="B81" t="s">
        <v>187</v>
      </c>
      <c r="C81" t="s">
        <v>51</v>
      </c>
      <c r="D81" t="s">
        <v>89</v>
      </c>
      <c r="E81" s="1">
        <v>45294</v>
      </c>
      <c r="F81" s="1">
        <v>45738</v>
      </c>
      <c r="G81" t="s">
        <v>35</v>
      </c>
      <c r="H81" t="s">
        <v>46</v>
      </c>
      <c r="I81" t="s">
        <v>29</v>
      </c>
      <c r="J81" t="s">
        <v>189</v>
      </c>
      <c r="K81" t="s">
        <v>25</v>
      </c>
      <c r="L81" t="s">
        <v>26</v>
      </c>
      <c r="M81">
        <v>7</v>
      </c>
      <c r="N81">
        <v>1</v>
      </c>
      <c r="O81">
        <v>1646</v>
      </c>
      <c r="P81">
        <v>4190</v>
      </c>
      <c r="Q81">
        <v>2.5455650060753343</v>
      </c>
    </row>
    <row r="82" spans="1:17" x14ac:dyDescent="0.55000000000000004">
      <c r="A82" t="s">
        <v>186</v>
      </c>
      <c r="B82" t="s">
        <v>187</v>
      </c>
      <c r="C82" t="s">
        <v>51</v>
      </c>
      <c r="D82" t="s">
        <v>32</v>
      </c>
      <c r="E82" s="1">
        <v>45294</v>
      </c>
      <c r="F82" s="1">
        <v>45676</v>
      </c>
      <c r="G82" t="s">
        <v>35</v>
      </c>
      <c r="H82" t="s">
        <v>22</v>
      </c>
      <c r="I82" t="s">
        <v>33</v>
      </c>
      <c r="J82" t="s">
        <v>190</v>
      </c>
      <c r="K82" t="s">
        <v>25</v>
      </c>
      <c r="L82" t="s">
        <v>48</v>
      </c>
      <c r="M82">
        <v>30</v>
      </c>
      <c r="N82">
        <v>0.19</v>
      </c>
      <c r="O82">
        <v>3853</v>
      </c>
      <c r="P82">
        <v>0</v>
      </c>
      <c r="Q82">
        <v>0</v>
      </c>
    </row>
    <row r="83" spans="1:17" x14ac:dyDescent="0.55000000000000004">
      <c r="A83" t="s">
        <v>191</v>
      </c>
      <c r="B83" t="s">
        <v>192</v>
      </c>
      <c r="C83" t="s">
        <v>79</v>
      </c>
      <c r="D83" t="s">
        <v>45</v>
      </c>
      <c r="E83" s="1">
        <v>45498</v>
      </c>
      <c r="F83" s="1">
        <v>45676</v>
      </c>
      <c r="G83" t="s">
        <v>21</v>
      </c>
      <c r="H83" t="s">
        <v>22</v>
      </c>
      <c r="I83" t="s">
        <v>23</v>
      </c>
      <c r="J83" t="s">
        <v>193</v>
      </c>
      <c r="K83" t="s">
        <v>42</v>
      </c>
      <c r="L83" t="s">
        <v>48</v>
      </c>
      <c r="M83">
        <v>22</v>
      </c>
      <c r="N83">
        <v>0.31</v>
      </c>
      <c r="O83">
        <v>5266</v>
      </c>
      <c r="P83">
        <v>0</v>
      </c>
      <c r="Q83">
        <v>0</v>
      </c>
    </row>
    <row r="84" spans="1:17" x14ac:dyDescent="0.55000000000000004">
      <c r="A84" t="s">
        <v>191</v>
      </c>
      <c r="B84" t="s">
        <v>192</v>
      </c>
      <c r="C84" t="s">
        <v>79</v>
      </c>
      <c r="D84" t="s">
        <v>45</v>
      </c>
      <c r="E84" s="1">
        <v>45498</v>
      </c>
      <c r="F84" s="1">
        <v>45805</v>
      </c>
      <c r="G84" t="s">
        <v>21</v>
      </c>
      <c r="H84" t="s">
        <v>22</v>
      </c>
      <c r="I84" t="s">
        <v>29</v>
      </c>
      <c r="J84" t="s">
        <v>194</v>
      </c>
      <c r="K84" t="s">
        <v>42</v>
      </c>
      <c r="L84" t="s">
        <v>26</v>
      </c>
      <c r="M84">
        <v>16</v>
      </c>
      <c r="N84">
        <v>0.78</v>
      </c>
      <c r="O84">
        <v>4878</v>
      </c>
      <c r="P84">
        <v>0</v>
      </c>
      <c r="Q84">
        <v>0</v>
      </c>
    </row>
    <row r="85" spans="1:17" x14ac:dyDescent="0.55000000000000004">
      <c r="A85" t="s">
        <v>191</v>
      </c>
      <c r="B85" t="s">
        <v>192</v>
      </c>
      <c r="C85" t="s">
        <v>79</v>
      </c>
      <c r="D85" t="s">
        <v>43</v>
      </c>
      <c r="E85" s="1">
        <v>45498</v>
      </c>
      <c r="F85" s="1">
        <v>45673</v>
      </c>
      <c r="G85" t="s">
        <v>21</v>
      </c>
      <c r="H85" t="s">
        <v>46</v>
      </c>
      <c r="I85" t="s">
        <v>33</v>
      </c>
      <c r="J85" t="s">
        <v>195</v>
      </c>
      <c r="K85" t="s">
        <v>42</v>
      </c>
      <c r="L85" t="s">
        <v>179</v>
      </c>
      <c r="M85">
        <v>23</v>
      </c>
      <c r="N85">
        <v>0.98</v>
      </c>
      <c r="O85">
        <v>4589</v>
      </c>
      <c r="P85">
        <v>0</v>
      </c>
      <c r="Q85">
        <v>0</v>
      </c>
    </row>
    <row r="86" spans="1:17" x14ac:dyDescent="0.55000000000000004">
      <c r="A86" t="s">
        <v>196</v>
      </c>
      <c r="B86" t="s">
        <v>197</v>
      </c>
      <c r="C86" t="s">
        <v>19</v>
      </c>
      <c r="D86" t="s">
        <v>74</v>
      </c>
      <c r="E86" s="1">
        <v>45392</v>
      </c>
      <c r="F86" s="1">
        <v>45425</v>
      </c>
      <c r="G86" t="s">
        <v>40</v>
      </c>
      <c r="H86" t="s">
        <v>46</v>
      </c>
      <c r="I86" t="s">
        <v>23</v>
      </c>
      <c r="J86" t="s">
        <v>198</v>
      </c>
      <c r="K86" t="s">
        <v>35</v>
      </c>
      <c r="L86" t="s">
        <v>53</v>
      </c>
      <c r="M86">
        <v>33</v>
      </c>
      <c r="N86">
        <v>1</v>
      </c>
      <c r="O86">
        <v>3498</v>
      </c>
      <c r="P86">
        <v>3235</v>
      </c>
      <c r="Q86">
        <v>0.92481417953116063</v>
      </c>
    </row>
    <row r="87" spans="1:17" x14ac:dyDescent="0.55000000000000004">
      <c r="A87" t="s">
        <v>196</v>
      </c>
      <c r="B87" t="s">
        <v>197</v>
      </c>
      <c r="C87" t="s">
        <v>19</v>
      </c>
      <c r="D87" t="s">
        <v>67</v>
      </c>
      <c r="E87" s="1">
        <v>45392</v>
      </c>
      <c r="F87" s="1">
        <v>45647</v>
      </c>
      <c r="G87" t="s">
        <v>40</v>
      </c>
      <c r="H87" t="s">
        <v>28</v>
      </c>
      <c r="I87" t="s">
        <v>29</v>
      </c>
      <c r="J87" t="s">
        <v>199</v>
      </c>
      <c r="K87" t="s">
        <v>42</v>
      </c>
      <c r="L87" t="s">
        <v>31</v>
      </c>
      <c r="M87">
        <v>30</v>
      </c>
      <c r="N87">
        <v>0.15</v>
      </c>
      <c r="O87">
        <v>7342</v>
      </c>
      <c r="P87">
        <v>0</v>
      </c>
      <c r="Q87">
        <v>0</v>
      </c>
    </row>
    <row r="88" spans="1:17" x14ac:dyDescent="0.55000000000000004">
      <c r="A88" t="s">
        <v>196</v>
      </c>
      <c r="B88" t="s">
        <v>197</v>
      </c>
      <c r="C88" t="s">
        <v>19</v>
      </c>
      <c r="D88" t="s">
        <v>54</v>
      </c>
      <c r="E88" s="1">
        <v>45392</v>
      </c>
      <c r="F88" s="1">
        <v>45680</v>
      </c>
      <c r="G88" t="s">
        <v>40</v>
      </c>
      <c r="H88" t="s">
        <v>28</v>
      </c>
      <c r="I88" t="s">
        <v>33</v>
      </c>
      <c r="J88" t="s">
        <v>200</v>
      </c>
      <c r="K88" t="s">
        <v>42</v>
      </c>
      <c r="L88" t="s">
        <v>31</v>
      </c>
      <c r="M88">
        <v>22</v>
      </c>
      <c r="N88">
        <v>0.4</v>
      </c>
      <c r="O88">
        <v>3172</v>
      </c>
      <c r="P88">
        <v>0</v>
      </c>
      <c r="Q88">
        <v>0</v>
      </c>
    </row>
    <row r="89" spans="1:17" x14ac:dyDescent="0.55000000000000004">
      <c r="A89" t="s">
        <v>201</v>
      </c>
      <c r="B89" t="s">
        <v>202</v>
      </c>
      <c r="C89" t="s">
        <v>79</v>
      </c>
      <c r="D89" t="s">
        <v>89</v>
      </c>
      <c r="E89" s="1">
        <v>45489</v>
      </c>
      <c r="F89" s="1">
        <v>45502</v>
      </c>
      <c r="G89" t="s">
        <v>40</v>
      </c>
      <c r="H89" t="s">
        <v>28</v>
      </c>
      <c r="I89" t="s">
        <v>23</v>
      </c>
      <c r="J89" t="s">
        <v>203</v>
      </c>
      <c r="K89" t="s">
        <v>42</v>
      </c>
      <c r="L89" t="s">
        <v>81</v>
      </c>
      <c r="M89">
        <v>33</v>
      </c>
      <c r="N89">
        <v>0.79</v>
      </c>
      <c r="O89">
        <v>8742</v>
      </c>
      <c r="P89">
        <v>0</v>
      </c>
      <c r="Q89">
        <v>0</v>
      </c>
    </row>
    <row r="90" spans="1:17" x14ac:dyDescent="0.55000000000000004">
      <c r="A90" t="s">
        <v>201</v>
      </c>
      <c r="B90" t="s">
        <v>202</v>
      </c>
      <c r="C90" t="s">
        <v>79</v>
      </c>
      <c r="D90" t="s">
        <v>39</v>
      </c>
      <c r="E90" s="1">
        <v>45489</v>
      </c>
      <c r="F90" s="1">
        <v>45502</v>
      </c>
      <c r="G90" t="s">
        <v>40</v>
      </c>
      <c r="H90" t="s">
        <v>28</v>
      </c>
      <c r="I90" t="s">
        <v>29</v>
      </c>
      <c r="J90" t="s">
        <v>204</v>
      </c>
      <c r="K90" t="s">
        <v>42</v>
      </c>
      <c r="L90" t="s">
        <v>31</v>
      </c>
      <c r="M90">
        <v>1</v>
      </c>
      <c r="N90">
        <v>0.28000000000000003</v>
      </c>
      <c r="O90">
        <v>4274</v>
      </c>
      <c r="P90">
        <v>0</v>
      </c>
      <c r="Q90">
        <v>0</v>
      </c>
    </row>
    <row r="91" spans="1:17" x14ac:dyDescent="0.55000000000000004">
      <c r="A91" t="s">
        <v>201</v>
      </c>
      <c r="B91" t="s">
        <v>202</v>
      </c>
      <c r="C91" t="s">
        <v>79</v>
      </c>
      <c r="D91" t="s">
        <v>43</v>
      </c>
      <c r="E91" s="1">
        <v>45489</v>
      </c>
      <c r="F91" s="1">
        <v>45502</v>
      </c>
      <c r="G91" t="s">
        <v>40</v>
      </c>
      <c r="H91" t="s">
        <v>28</v>
      </c>
      <c r="I91" t="s">
        <v>33</v>
      </c>
      <c r="J91" t="s">
        <v>205</v>
      </c>
      <c r="K91" t="s">
        <v>25</v>
      </c>
      <c r="L91" t="s">
        <v>26</v>
      </c>
      <c r="M91">
        <v>16</v>
      </c>
      <c r="N91">
        <v>7.0000000000000007E-2</v>
      </c>
      <c r="O91">
        <v>3338</v>
      </c>
      <c r="P91">
        <v>0</v>
      </c>
      <c r="Q91">
        <v>0</v>
      </c>
    </row>
    <row r="92" spans="1:17" x14ac:dyDescent="0.55000000000000004">
      <c r="A92" t="s">
        <v>206</v>
      </c>
      <c r="B92" t="s">
        <v>207</v>
      </c>
      <c r="C92" t="s">
        <v>19</v>
      </c>
      <c r="D92" t="s">
        <v>87</v>
      </c>
      <c r="E92" s="1">
        <v>45370</v>
      </c>
      <c r="F92" s="1">
        <v>45452</v>
      </c>
      <c r="G92" t="s">
        <v>40</v>
      </c>
      <c r="H92" t="s">
        <v>28</v>
      </c>
      <c r="I92" t="s">
        <v>23</v>
      </c>
      <c r="J92" t="s">
        <v>208</v>
      </c>
      <c r="K92" t="s">
        <v>25</v>
      </c>
      <c r="L92" t="s">
        <v>26</v>
      </c>
      <c r="M92">
        <v>2</v>
      </c>
      <c r="N92">
        <v>0.45</v>
      </c>
      <c r="O92">
        <v>3147</v>
      </c>
      <c r="P92">
        <v>0</v>
      </c>
      <c r="Q92">
        <v>0</v>
      </c>
    </row>
    <row r="93" spans="1:17" x14ac:dyDescent="0.55000000000000004">
      <c r="A93" t="s">
        <v>206</v>
      </c>
      <c r="B93" t="s">
        <v>207</v>
      </c>
      <c r="C93" t="s">
        <v>19</v>
      </c>
      <c r="D93" t="s">
        <v>91</v>
      </c>
      <c r="E93" s="1">
        <v>45370</v>
      </c>
      <c r="F93" s="1">
        <v>45449</v>
      </c>
      <c r="G93" t="s">
        <v>40</v>
      </c>
      <c r="H93" t="s">
        <v>28</v>
      </c>
      <c r="I93" t="s">
        <v>29</v>
      </c>
      <c r="J93" t="s">
        <v>209</v>
      </c>
      <c r="K93" t="s">
        <v>25</v>
      </c>
      <c r="L93" t="s">
        <v>107</v>
      </c>
      <c r="M93">
        <v>11</v>
      </c>
      <c r="N93">
        <v>0.79</v>
      </c>
      <c r="O93">
        <v>8355</v>
      </c>
      <c r="P93">
        <v>0</v>
      </c>
      <c r="Q93">
        <v>0</v>
      </c>
    </row>
    <row r="94" spans="1:17" x14ac:dyDescent="0.55000000000000004">
      <c r="A94" t="s">
        <v>206</v>
      </c>
      <c r="B94" t="s">
        <v>207</v>
      </c>
      <c r="C94" t="s">
        <v>19</v>
      </c>
      <c r="D94" t="s">
        <v>91</v>
      </c>
      <c r="E94" s="1">
        <v>45370</v>
      </c>
      <c r="F94" s="1">
        <v>45446</v>
      </c>
      <c r="G94" t="s">
        <v>40</v>
      </c>
      <c r="H94" t="s">
        <v>22</v>
      </c>
      <c r="I94" t="s">
        <v>33</v>
      </c>
      <c r="J94" t="s">
        <v>210</v>
      </c>
      <c r="K94" t="s">
        <v>35</v>
      </c>
      <c r="L94" t="s">
        <v>107</v>
      </c>
      <c r="M94">
        <v>5</v>
      </c>
      <c r="N94">
        <v>1</v>
      </c>
      <c r="O94">
        <v>4000</v>
      </c>
      <c r="P94">
        <v>3595</v>
      </c>
      <c r="Q94">
        <v>0.89875000000000005</v>
      </c>
    </row>
    <row r="95" spans="1:17" x14ac:dyDescent="0.55000000000000004">
      <c r="A95" t="s">
        <v>211</v>
      </c>
      <c r="B95" t="s">
        <v>212</v>
      </c>
      <c r="C95" t="s">
        <v>38</v>
      </c>
      <c r="D95" t="s">
        <v>27</v>
      </c>
      <c r="E95" s="1">
        <v>45414</v>
      </c>
      <c r="F95" s="1">
        <v>45714</v>
      </c>
      <c r="G95" t="s">
        <v>95</v>
      </c>
      <c r="H95" t="s">
        <v>28</v>
      </c>
      <c r="I95" t="s">
        <v>23</v>
      </c>
      <c r="J95" t="s">
        <v>213</v>
      </c>
      <c r="K95" t="s">
        <v>25</v>
      </c>
      <c r="L95" t="s">
        <v>107</v>
      </c>
      <c r="M95">
        <v>12</v>
      </c>
      <c r="N95">
        <v>0.54</v>
      </c>
      <c r="O95">
        <v>4133</v>
      </c>
      <c r="P95">
        <v>0</v>
      </c>
      <c r="Q95">
        <v>0</v>
      </c>
    </row>
    <row r="96" spans="1:17" x14ac:dyDescent="0.55000000000000004">
      <c r="A96" t="s">
        <v>211</v>
      </c>
      <c r="B96" t="s">
        <v>212</v>
      </c>
      <c r="C96" t="s">
        <v>38</v>
      </c>
      <c r="D96" t="s">
        <v>43</v>
      </c>
      <c r="E96" s="1">
        <v>45414</v>
      </c>
      <c r="F96" s="1">
        <v>45763</v>
      </c>
      <c r="G96" t="s">
        <v>95</v>
      </c>
      <c r="H96" t="s">
        <v>22</v>
      </c>
      <c r="I96" t="s">
        <v>29</v>
      </c>
      <c r="J96" t="s">
        <v>214</v>
      </c>
      <c r="K96" t="s">
        <v>42</v>
      </c>
      <c r="L96" t="s">
        <v>31</v>
      </c>
      <c r="M96">
        <v>4</v>
      </c>
      <c r="N96">
        <v>0.39</v>
      </c>
      <c r="O96">
        <v>8258</v>
      </c>
      <c r="P96">
        <v>0</v>
      </c>
      <c r="Q96">
        <v>0</v>
      </c>
    </row>
    <row r="97" spans="1:17" x14ac:dyDescent="0.55000000000000004">
      <c r="A97" t="s">
        <v>211</v>
      </c>
      <c r="B97" t="s">
        <v>212</v>
      </c>
      <c r="C97" t="s">
        <v>38</v>
      </c>
      <c r="D97" t="s">
        <v>89</v>
      </c>
      <c r="E97" s="1">
        <v>45414</v>
      </c>
      <c r="F97" s="1">
        <v>45740</v>
      </c>
      <c r="G97" t="s">
        <v>95</v>
      </c>
      <c r="H97" t="s">
        <v>46</v>
      </c>
      <c r="I97" t="s">
        <v>33</v>
      </c>
      <c r="J97" t="s">
        <v>215</v>
      </c>
      <c r="K97" t="s">
        <v>25</v>
      </c>
      <c r="L97" t="s">
        <v>179</v>
      </c>
      <c r="M97">
        <v>33</v>
      </c>
      <c r="N97">
        <v>0.79</v>
      </c>
      <c r="O97">
        <v>3654</v>
      </c>
      <c r="P97">
        <v>0</v>
      </c>
      <c r="Q97">
        <v>0</v>
      </c>
    </row>
    <row r="98" spans="1:17" x14ac:dyDescent="0.55000000000000004">
      <c r="A98" t="s">
        <v>216</v>
      </c>
      <c r="B98" t="s">
        <v>217</v>
      </c>
      <c r="C98" t="s">
        <v>51</v>
      </c>
      <c r="D98" t="s">
        <v>45</v>
      </c>
      <c r="E98" s="1">
        <v>45427</v>
      </c>
      <c r="F98" s="1">
        <v>45560</v>
      </c>
      <c r="G98" t="s">
        <v>21</v>
      </c>
      <c r="H98" t="s">
        <v>46</v>
      </c>
      <c r="I98" t="s">
        <v>23</v>
      </c>
      <c r="J98" t="s">
        <v>218</v>
      </c>
      <c r="K98" t="s">
        <v>35</v>
      </c>
      <c r="L98" t="s">
        <v>179</v>
      </c>
      <c r="M98">
        <v>4</v>
      </c>
      <c r="N98">
        <v>1</v>
      </c>
      <c r="O98">
        <v>4561</v>
      </c>
      <c r="P98">
        <v>4256</v>
      </c>
      <c r="Q98">
        <v>0.93312869984652491</v>
      </c>
    </row>
    <row r="99" spans="1:17" x14ac:dyDescent="0.55000000000000004">
      <c r="A99" t="s">
        <v>216</v>
      </c>
      <c r="B99" t="s">
        <v>217</v>
      </c>
      <c r="C99" t="s">
        <v>51</v>
      </c>
      <c r="D99" t="s">
        <v>20</v>
      </c>
      <c r="E99" s="1">
        <v>45427</v>
      </c>
      <c r="F99" s="1">
        <v>45583</v>
      </c>
      <c r="G99" t="s">
        <v>21</v>
      </c>
      <c r="H99" t="s">
        <v>28</v>
      </c>
      <c r="I99" t="s">
        <v>29</v>
      </c>
      <c r="J99" t="s">
        <v>219</v>
      </c>
      <c r="K99" t="s">
        <v>25</v>
      </c>
      <c r="L99" t="s">
        <v>53</v>
      </c>
      <c r="M99">
        <v>10</v>
      </c>
      <c r="N99">
        <v>0.71</v>
      </c>
      <c r="O99">
        <v>9743</v>
      </c>
      <c r="P99">
        <v>0</v>
      </c>
      <c r="Q99">
        <v>0</v>
      </c>
    </row>
    <row r="100" spans="1:17" x14ac:dyDescent="0.55000000000000004">
      <c r="A100" t="s">
        <v>216</v>
      </c>
      <c r="B100" t="s">
        <v>217</v>
      </c>
      <c r="C100" t="s">
        <v>51</v>
      </c>
      <c r="D100" t="s">
        <v>27</v>
      </c>
      <c r="E100" s="1">
        <v>45427</v>
      </c>
      <c r="F100" s="1">
        <v>45558</v>
      </c>
      <c r="G100" t="s">
        <v>21</v>
      </c>
      <c r="H100" t="s">
        <v>28</v>
      </c>
      <c r="I100" t="s">
        <v>33</v>
      </c>
      <c r="J100" t="s">
        <v>220</v>
      </c>
      <c r="K100" t="s">
        <v>35</v>
      </c>
      <c r="L100" t="s">
        <v>179</v>
      </c>
      <c r="M100">
        <v>4</v>
      </c>
      <c r="N100">
        <v>1</v>
      </c>
      <c r="O100">
        <v>7316</v>
      </c>
      <c r="P100">
        <v>7140</v>
      </c>
      <c r="Q100">
        <v>0.97594313832695467</v>
      </c>
    </row>
    <row r="101" spans="1:17" x14ac:dyDescent="0.55000000000000004">
      <c r="A101" t="s">
        <v>221</v>
      </c>
      <c r="B101" t="s">
        <v>222</v>
      </c>
      <c r="C101" t="s">
        <v>60</v>
      </c>
      <c r="D101" t="s">
        <v>82</v>
      </c>
      <c r="E101" s="1">
        <v>45456</v>
      </c>
      <c r="F101" s="1">
        <v>45536</v>
      </c>
      <c r="G101" t="s">
        <v>21</v>
      </c>
      <c r="H101" t="s">
        <v>28</v>
      </c>
      <c r="I101" t="s">
        <v>23</v>
      </c>
      <c r="J101" t="s">
        <v>223</v>
      </c>
      <c r="K101" t="s">
        <v>42</v>
      </c>
      <c r="L101" t="s">
        <v>53</v>
      </c>
      <c r="M101">
        <v>14</v>
      </c>
      <c r="N101">
        <v>0.47</v>
      </c>
      <c r="O101">
        <v>2342</v>
      </c>
      <c r="P101">
        <v>0</v>
      </c>
      <c r="Q101">
        <v>0</v>
      </c>
    </row>
    <row r="102" spans="1:17" x14ac:dyDescent="0.55000000000000004">
      <c r="A102" t="s">
        <v>221</v>
      </c>
      <c r="B102" t="s">
        <v>222</v>
      </c>
      <c r="C102" t="s">
        <v>60</v>
      </c>
      <c r="D102" t="s">
        <v>32</v>
      </c>
      <c r="E102" s="1">
        <v>45456</v>
      </c>
      <c r="F102" s="1">
        <v>45521</v>
      </c>
      <c r="G102" t="s">
        <v>21</v>
      </c>
      <c r="H102" t="s">
        <v>28</v>
      </c>
      <c r="I102" t="s">
        <v>29</v>
      </c>
      <c r="J102" t="s">
        <v>224</v>
      </c>
      <c r="K102" t="s">
        <v>35</v>
      </c>
      <c r="L102" t="s">
        <v>81</v>
      </c>
      <c r="M102">
        <v>22</v>
      </c>
      <c r="N102">
        <v>1</v>
      </c>
      <c r="O102">
        <v>5899</v>
      </c>
      <c r="P102">
        <v>5436</v>
      </c>
      <c r="Q102">
        <v>0.92151212069842348</v>
      </c>
    </row>
    <row r="103" spans="1:17" x14ac:dyDescent="0.55000000000000004">
      <c r="A103" t="s">
        <v>221</v>
      </c>
      <c r="B103" t="s">
        <v>222</v>
      </c>
      <c r="C103" t="s">
        <v>60</v>
      </c>
      <c r="D103" t="s">
        <v>39</v>
      </c>
      <c r="E103" s="1">
        <v>45456</v>
      </c>
      <c r="F103" s="1">
        <v>45525</v>
      </c>
      <c r="G103" t="s">
        <v>21</v>
      </c>
      <c r="H103" t="s">
        <v>28</v>
      </c>
      <c r="I103" t="s">
        <v>33</v>
      </c>
      <c r="J103" t="s">
        <v>225</v>
      </c>
      <c r="K103" t="s">
        <v>25</v>
      </c>
      <c r="L103" t="s">
        <v>31</v>
      </c>
      <c r="M103">
        <v>32</v>
      </c>
      <c r="N103">
        <v>0.68</v>
      </c>
      <c r="O103">
        <v>8314</v>
      </c>
      <c r="P103">
        <v>0</v>
      </c>
      <c r="Q103">
        <v>0</v>
      </c>
    </row>
    <row r="104" spans="1:17" x14ac:dyDescent="0.55000000000000004">
      <c r="A104" t="s">
        <v>226</v>
      </c>
      <c r="B104" t="s">
        <v>227</v>
      </c>
      <c r="C104" t="s">
        <v>66</v>
      </c>
      <c r="D104" t="s">
        <v>27</v>
      </c>
      <c r="E104" s="1">
        <v>45471</v>
      </c>
      <c r="F104" s="1">
        <v>45504</v>
      </c>
      <c r="G104" t="s">
        <v>95</v>
      </c>
      <c r="H104" t="s">
        <v>22</v>
      </c>
      <c r="I104" t="s">
        <v>23</v>
      </c>
      <c r="J104" t="s">
        <v>228</v>
      </c>
      <c r="K104" t="s">
        <v>35</v>
      </c>
      <c r="L104" t="s">
        <v>107</v>
      </c>
      <c r="M104">
        <v>14</v>
      </c>
      <c r="N104">
        <v>1</v>
      </c>
      <c r="O104">
        <v>7361</v>
      </c>
      <c r="P104">
        <v>7026</v>
      </c>
      <c r="Q104">
        <v>0.95448987909251459</v>
      </c>
    </row>
    <row r="105" spans="1:17" x14ac:dyDescent="0.55000000000000004">
      <c r="A105" t="s">
        <v>226</v>
      </c>
      <c r="B105" t="s">
        <v>227</v>
      </c>
      <c r="C105" t="s">
        <v>66</v>
      </c>
      <c r="D105" t="s">
        <v>54</v>
      </c>
      <c r="E105" s="1">
        <v>45471</v>
      </c>
      <c r="F105" s="1">
        <v>45504</v>
      </c>
      <c r="G105" t="s">
        <v>95</v>
      </c>
      <c r="H105" t="s">
        <v>46</v>
      </c>
      <c r="I105" t="s">
        <v>29</v>
      </c>
      <c r="J105" t="s">
        <v>229</v>
      </c>
      <c r="K105" t="s">
        <v>35</v>
      </c>
      <c r="L105" t="s">
        <v>53</v>
      </c>
      <c r="M105">
        <v>11</v>
      </c>
      <c r="N105">
        <v>1</v>
      </c>
      <c r="O105">
        <v>6901</v>
      </c>
      <c r="P105">
        <v>6528</v>
      </c>
      <c r="Q105">
        <v>0.94594986233879153</v>
      </c>
    </row>
    <row r="106" spans="1:17" x14ac:dyDescent="0.55000000000000004">
      <c r="A106" t="s">
        <v>226</v>
      </c>
      <c r="B106" t="s">
        <v>227</v>
      </c>
      <c r="C106" t="s">
        <v>66</v>
      </c>
      <c r="D106" t="s">
        <v>27</v>
      </c>
      <c r="E106" s="1">
        <v>45471</v>
      </c>
      <c r="F106" s="1">
        <v>45773</v>
      </c>
      <c r="G106" t="s">
        <v>95</v>
      </c>
      <c r="H106" t="s">
        <v>28</v>
      </c>
      <c r="I106" t="s">
        <v>33</v>
      </c>
      <c r="J106" t="s">
        <v>230</v>
      </c>
      <c r="K106" t="s">
        <v>42</v>
      </c>
      <c r="L106" t="s">
        <v>179</v>
      </c>
      <c r="M106">
        <v>40</v>
      </c>
      <c r="N106">
        <v>0.28999999999999998</v>
      </c>
      <c r="O106">
        <v>5183</v>
      </c>
      <c r="P106">
        <v>0</v>
      </c>
      <c r="Q106">
        <v>0</v>
      </c>
    </row>
    <row r="107" spans="1:17" x14ac:dyDescent="0.55000000000000004">
      <c r="A107" t="s">
        <v>231</v>
      </c>
      <c r="B107" t="s">
        <v>232</v>
      </c>
      <c r="C107" t="s">
        <v>19</v>
      </c>
      <c r="D107" t="s">
        <v>67</v>
      </c>
      <c r="E107" s="1">
        <v>45377</v>
      </c>
      <c r="F107" s="1">
        <v>45483</v>
      </c>
      <c r="G107" t="s">
        <v>21</v>
      </c>
      <c r="H107" t="s">
        <v>28</v>
      </c>
      <c r="I107" t="s">
        <v>23</v>
      </c>
      <c r="J107" t="s">
        <v>233</v>
      </c>
      <c r="K107" t="s">
        <v>25</v>
      </c>
      <c r="L107" t="s">
        <v>48</v>
      </c>
      <c r="M107">
        <v>8</v>
      </c>
      <c r="N107">
        <v>0.79</v>
      </c>
      <c r="O107">
        <v>1220</v>
      </c>
      <c r="P107">
        <v>0</v>
      </c>
      <c r="Q107">
        <v>0</v>
      </c>
    </row>
    <row r="108" spans="1:17" x14ac:dyDescent="0.55000000000000004">
      <c r="A108" t="s">
        <v>231</v>
      </c>
      <c r="B108" t="s">
        <v>232</v>
      </c>
      <c r="C108" t="s">
        <v>19</v>
      </c>
      <c r="D108" t="s">
        <v>91</v>
      </c>
      <c r="E108" s="1">
        <v>45377</v>
      </c>
      <c r="F108" s="1">
        <v>45502</v>
      </c>
      <c r="G108" t="s">
        <v>21</v>
      </c>
      <c r="H108" t="s">
        <v>22</v>
      </c>
      <c r="I108" t="s">
        <v>29</v>
      </c>
      <c r="J108" t="s">
        <v>234</v>
      </c>
      <c r="K108" t="s">
        <v>42</v>
      </c>
      <c r="L108" t="s">
        <v>56</v>
      </c>
      <c r="M108">
        <v>16</v>
      </c>
      <c r="N108">
        <v>0.64</v>
      </c>
      <c r="O108">
        <v>6005</v>
      </c>
      <c r="P108">
        <v>0</v>
      </c>
      <c r="Q108">
        <v>0</v>
      </c>
    </row>
    <row r="109" spans="1:17" x14ac:dyDescent="0.55000000000000004">
      <c r="A109" t="s">
        <v>231</v>
      </c>
      <c r="B109" t="s">
        <v>232</v>
      </c>
      <c r="C109" t="s">
        <v>19</v>
      </c>
      <c r="D109" t="s">
        <v>45</v>
      </c>
      <c r="E109" s="1">
        <v>45377</v>
      </c>
      <c r="F109" s="1">
        <v>45471</v>
      </c>
      <c r="G109" t="s">
        <v>21</v>
      </c>
      <c r="H109" t="s">
        <v>28</v>
      </c>
      <c r="I109" t="s">
        <v>33</v>
      </c>
      <c r="J109" t="s">
        <v>235</v>
      </c>
      <c r="K109" t="s">
        <v>35</v>
      </c>
      <c r="L109" t="s">
        <v>81</v>
      </c>
      <c r="M109">
        <v>32</v>
      </c>
      <c r="N109">
        <v>1</v>
      </c>
      <c r="O109">
        <v>3891</v>
      </c>
      <c r="P109">
        <v>3841</v>
      </c>
      <c r="Q109">
        <v>0.98714983294782832</v>
      </c>
    </row>
    <row r="110" spans="1:17" x14ac:dyDescent="0.55000000000000004">
      <c r="A110" t="s">
        <v>236</v>
      </c>
      <c r="B110" t="s">
        <v>237</v>
      </c>
      <c r="C110" t="s">
        <v>79</v>
      </c>
      <c r="D110" t="s">
        <v>54</v>
      </c>
      <c r="E110" s="1">
        <v>45307</v>
      </c>
      <c r="F110" s="1">
        <v>45504</v>
      </c>
      <c r="G110" t="s">
        <v>21</v>
      </c>
      <c r="H110" t="s">
        <v>22</v>
      </c>
      <c r="I110" t="s">
        <v>23</v>
      </c>
      <c r="J110" t="s">
        <v>238</v>
      </c>
      <c r="K110" t="s">
        <v>25</v>
      </c>
      <c r="L110" t="s">
        <v>81</v>
      </c>
      <c r="M110">
        <v>12</v>
      </c>
      <c r="N110">
        <v>0.09</v>
      </c>
      <c r="O110">
        <v>9160</v>
      </c>
      <c r="P110">
        <v>0</v>
      </c>
      <c r="Q110">
        <v>0</v>
      </c>
    </row>
    <row r="111" spans="1:17" x14ac:dyDescent="0.55000000000000004">
      <c r="A111" t="s">
        <v>236</v>
      </c>
      <c r="B111" t="s">
        <v>237</v>
      </c>
      <c r="C111" t="s">
        <v>79</v>
      </c>
      <c r="D111" t="s">
        <v>39</v>
      </c>
      <c r="E111" s="1">
        <v>45307</v>
      </c>
      <c r="F111" s="1">
        <v>45437</v>
      </c>
      <c r="G111" t="s">
        <v>21</v>
      </c>
      <c r="H111" t="s">
        <v>28</v>
      </c>
      <c r="I111" t="s">
        <v>29</v>
      </c>
      <c r="J111" t="s">
        <v>239</v>
      </c>
      <c r="K111" t="s">
        <v>35</v>
      </c>
      <c r="L111" t="s">
        <v>53</v>
      </c>
      <c r="M111">
        <v>15</v>
      </c>
      <c r="N111">
        <v>1</v>
      </c>
      <c r="O111">
        <v>1719</v>
      </c>
      <c r="P111">
        <v>1494</v>
      </c>
      <c r="Q111">
        <v>0.86910994764397909</v>
      </c>
    </row>
    <row r="112" spans="1:17" x14ac:dyDescent="0.55000000000000004">
      <c r="A112" t="s">
        <v>236</v>
      </c>
      <c r="B112" t="s">
        <v>237</v>
      </c>
      <c r="C112" t="s">
        <v>79</v>
      </c>
      <c r="D112" t="s">
        <v>87</v>
      </c>
      <c r="E112" s="1">
        <v>45307</v>
      </c>
      <c r="F112" s="1">
        <v>45456</v>
      </c>
      <c r="G112" t="s">
        <v>21</v>
      </c>
      <c r="H112" t="s">
        <v>28</v>
      </c>
      <c r="I112" t="s">
        <v>33</v>
      </c>
      <c r="J112" t="s">
        <v>240</v>
      </c>
      <c r="K112" t="s">
        <v>42</v>
      </c>
      <c r="L112" t="s">
        <v>81</v>
      </c>
      <c r="M112">
        <v>2</v>
      </c>
      <c r="N112">
        <v>0.33</v>
      </c>
      <c r="O112">
        <v>5180</v>
      </c>
      <c r="P112">
        <v>0</v>
      </c>
      <c r="Q112">
        <v>0</v>
      </c>
    </row>
    <row r="113" spans="1:17" x14ac:dyDescent="0.55000000000000004">
      <c r="A113" t="s">
        <v>241</v>
      </c>
      <c r="B113" t="s">
        <v>242</v>
      </c>
      <c r="C113" t="s">
        <v>51</v>
      </c>
      <c r="D113" t="s">
        <v>20</v>
      </c>
      <c r="E113" s="1">
        <v>45306</v>
      </c>
      <c r="F113" s="1">
        <v>45352</v>
      </c>
      <c r="G113" t="s">
        <v>21</v>
      </c>
      <c r="H113" t="s">
        <v>22</v>
      </c>
      <c r="I113" t="s">
        <v>23</v>
      </c>
      <c r="J113" t="s">
        <v>243</v>
      </c>
      <c r="K113" t="s">
        <v>42</v>
      </c>
      <c r="L113" t="s">
        <v>48</v>
      </c>
      <c r="M113">
        <v>14</v>
      </c>
      <c r="N113">
        <v>0.93</v>
      </c>
      <c r="O113">
        <v>8804</v>
      </c>
      <c r="P113">
        <v>0</v>
      </c>
      <c r="Q113">
        <v>0</v>
      </c>
    </row>
    <row r="114" spans="1:17" x14ac:dyDescent="0.55000000000000004">
      <c r="A114" t="s">
        <v>241</v>
      </c>
      <c r="B114" t="s">
        <v>242</v>
      </c>
      <c r="C114" t="s">
        <v>51</v>
      </c>
      <c r="D114" t="s">
        <v>67</v>
      </c>
      <c r="E114" s="1">
        <v>45306</v>
      </c>
      <c r="F114" s="1">
        <v>45370</v>
      </c>
      <c r="G114" t="s">
        <v>21</v>
      </c>
      <c r="H114" t="s">
        <v>46</v>
      </c>
      <c r="I114" t="s">
        <v>29</v>
      </c>
      <c r="J114" t="s">
        <v>244</v>
      </c>
      <c r="K114" t="s">
        <v>35</v>
      </c>
      <c r="L114" t="s">
        <v>31</v>
      </c>
      <c r="M114">
        <v>38</v>
      </c>
      <c r="N114">
        <v>1</v>
      </c>
      <c r="O114">
        <v>8552</v>
      </c>
      <c r="P114">
        <v>8463</v>
      </c>
      <c r="Q114">
        <v>0.98959307764265669</v>
      </c>
    </row>
    <row r="115" spans="1:17" x14ac:dyDescent="0.55000000000000004">
      <c r="A115" t="s">
        <v>241</v>
      </c>
      <c r="B115" t="s">
        <v>242</v>
      </c>
      <c r="C115" t="s">
        <v>51</v>
      </c>
      <c r="D115" t="s">
        <v>67</v>
      </c>
      <c r="E115" s="1">
        <v>45306</v>
      </c>
      <c r="F115" s="1">
        <v>45355</v>
      </c>
      <c r="G115" t="s">
        <v>21</v>
      </c>
      <c r="H115" t="s">
        <v>28</v>
      </c>
      <c r="I115" t="s">
        <v>33</v>
      </c>
      <c r="J115" t="s">
        <v>245</v>
      </c>
      <c r="K115" t="s">
        <v>25</v>
      </c>
      <c r="L115" t="s">
        <v>31</v>
      </c>
      <c r="M115">
        <v>32</v>
      </c>
      <c r="N115">
        <v>0.21</v>
      </c>
      <c r="O115">
        <v>6348</v>
      </c>
      <c r="P115">
        <v>0</v>
      </c>
      <c r="Q115">
        <v>0</v>
      </c>
    </row>
    <row r="116" spans="1:17" x14ac:dyDescent="0.55000000000000004">
      <c r="A116" t="s">
        <v>246</v>
      </c>
      <c r="B116" t="s">
        <v>247</v>
      </c>
      <c r="C116" t="s">
        <v>79</v>
      </c>
      <c r="D116" t="s">
        <v>54</v>
      </c>
      <c r="E116" s="1">
        <v>45316</v>
      </c>
      <c r="F116" s="1">
        <v>45374</v>
      </c>
      <c r="G116" t="s">
        <v>35</v>
      </c>
      <c r="H116" t="s">
        <v>28</v>
      </c>
      <c r="I116" t="s">
        <v>23</v>
      </c>
      <c r="J116" t="s">
        <v>248</v>
      </c>
      <c r="K116" t="s">
        <v>35</v>
      </c>
      <c r="L116" t="s">
        <v>31</v>
      </c>
      <c r="M116">
        <v>39</v>
      </c>
      <c r="N116">
        <v>1</v>
      </c>
      <c r="O116">
        <v>5312</v>
      </c>
      <c r="P116">
        <v>4818</v>
      </c>
      <c r="Q116">
        <v>0.90700301204819278</v>
      </c>
    </row>
    <row r="117" spans="1:17" x14ac:dyDescent="0.55000000000000004">
      <c r="A117" t="s">
        <v>246</v>
      </c>
      <c r="B117" t="s">
        <v>247</v>
      </c>
      <c r="C117" t="s">
        <v>79</v>
      </c>
      <c r="D117" t="s">
        <v>54</v>
      </c>
      <c r="E117" s="1">
        <v>45316</v>
      </c>
      <c r="F117" s="1">
        <v>45382</v>
      </c>
      <c r="G117" t="s">
        <v>35</v>
      </c>
      <c r="H117" t="s">
        <v>28</v>
      </c>
      <c r="I117" t="s">
        <v>29</v>
      </c>
      <c r="J117" t="s">
        <v>249</v>
      </c>
      <c r="K117" t="s">
        <v>42</v>
      </c>
      <c r="L117" t="s">
        <v>81</v>
      </c>
      <c r="M117">
        <v>2</v>
      </c>
      <c r="N117">
        <v>0.24</v>
      </c>
      <c r="O117">
        <v>9232</v>
      </c>
      <c r="P117">
        <v>0</v>
      </c>
      <c r="Q117">
        <v>0</v>
      </c>
    </row>
    <row r="118" spans="1:17" x14ac:dyDescent="0.55000000000000004">
      <c r="A118" t="s">
        <v>246</v>
      </c>
      <c r="B118" t="s">
        <v>247</v>
      </c>
      <c r="C118" t="s">
        <v>79</v>
      </c>
      <c r="D118" t="s">
        <v>67</v>
      </c>
      <c r="E118" s="1">
        <v>45316</v>
      </c>
      <c r="F118" s="1">
        <v>45385</v>
      </c>
      <c r="G118" t="s">
        <v>35</v>
      </c>
      <c r="H118" t="s">
        <v>22</v>
      </c>
      <c r="I118" t="s">
        <v>33</v>
      </c>
      <c r="J118" t="s">
        <v>250</v>
      </c>
      <c r="K118" t="s">
        <v>35</v>
      </c>
      <c r="L118" t="s">
        <v>107</v>
      </c>
      <c r="M118">
        <v>6</v>
      </c>
      <c r="N118">
        <v>1</v>
      </c>
      <c r="O118">
        <v>3291</v>
      </c>
      <c r="P118">
        <v>2824</v>
      </c>
      <c r="Q118">
        <v>0.85809784260103317</v>
      </c>
    </row>
    <row r="119" spans="1:17" x14ac:dyDescent="0.55000000000000004">
      <c r="A119" t="s">
        <v>251</v>
      </c>
      <c r="B119" t="s">
        <v>252</v>
      </c>
      <c r="C119" t="s">
        <v>79</v>
      </c>
      <c r="D119" t="s">
        <v>82</v>
      </c>
      <c r="E119" s="1">
        <v>45317</v>
      </c>
      <c r="F119" s="1">
        <v>45560</v>
      </c>
      <c r="G119" t="s">
        <v>21</v>
      </c>
      <c r="H119" t="s">
        <v>22</v>
      </c>
      <c r="I119" t="s">
        <v>23</v>
      </c>
      <c r="J119" t="s">
        <v>253</v>
      </c>
      <c r="K119" t="s">
        <v>42</v>
      </c>
      <c r="L119" t="s">
        <v>179</v>
      </c>
      <c r="M119">
        <v>21</v>
      </c>
      <c r="N119">
        <v>0.24</v>
      </c>
      <c r="O119">
        <v>4414</v>
      </c>
      <c r="P119">
        <v>0</v>
      </c>
      <c r="Q119">
        <v>0</v>
      </c>
    </row>
    <row r="120" spans="1:17" x14ac:dyDescent="0.55000000000000004">
      <c r="A120" t="s">
        <v>251</v>
      </c>
      <c r="B120" t="s">
        <v>252</v>
      </c>
      <c r="C120" t="s">
        <v>79</v>
      </c>
      <c r="D120" t="s">
        <v>54</v>
      </c>
      <c r="E120" s="1">
        <v>45317</v>
      </c>
      <c r="F120" s="1">
        <v>45502</v>
      </c>
      <c r="G120" t="s">
        <v>21</v>
      </c>
      <c r="H120" t="s">
        <v>22</v>
      </c>
      <c r="I120" t="s">
        <v>29</v>
      </c>
      <c r="J120" t="s">
        <v>254</v>
      </c>
      <c r="K120" t="s">
        <v>25</v>
      </c>
      <c r="L120" t="s">
        <v>179</v>
      </c>
      <c r="M120">
        <v>21</v>
      </c>
      <c r="N120">
        <v>0.28999999999999998</v>
      </c>
      <c r="O120">
        <v>9998</v>
      </c>
      <c r="P120">
        <v>0</v>
      </c>
      <c r="Q120">
        <v>0</v>
      </c>
    </row>
    <row r="121" spans="1:17" x14ac:dyDescent="0.55000000000000004">
      <c r="A121" t="s">
        <v>251</v>
      </c>
      <c r="B121" t="s">
        <v>252</v>
      </c>
      <c r="C121" t="s">
        <v>79</v>
      </c>
      <c r="D121" t="s">
        <v>67</v>
      </c>
      <c r="E121" s="1">
        <v>45317</v>
      </c>
      <c r="F121" s="1">
        <v>45518</v>
      </c>
      <c r="G121" t="s">
        <v>21</v>
      </c>
      <c r="H121" t="s">
        <v>28</v>
      </c>
      <c r="I121" t="s">
        <v>33</v>
      </c>
      <c r="J121" t="s">
        <v>255</v>
      </c>
      <c r="K121" t="s">
        <v>42</v>
      </c>
      <c r="L121" t="s">
        <v>31</v>
      </c>
      <c r="M121">
        <v>21</v>
      </c>
      <c r="N121">
        <v>0.54</v>
      </c>
      <c r="O121">
        <v>4869</v>
      </c>
      <c r="P121">
        <v>0</v>
      </c>
      <c r="Q121">
        <v>0</v>
      </c>
    </row>
    <row r="122" spans="1:17" x14ac:dyDescent="0.55000000000000004">
      <c r="A122" t="s">
        <v>256</v>
      </c>
      <c r="B122" t="s">
        <v>257</v>
      </c>
      <c r="C122" t="s">
        <v>19</v>
      </c>
      <c r="D122" t="s">
        <v>39</v>
      </c>
      <c r="E122" s="1">
        <v>45368</v>
      </c>
      <c r="F122" s="1">
        <v>45372</v>
      </c>
      <c r="G122" t="s">
        <v>35</v>
      </c>
      <c r="H122" t="s">
        <v>28</v>
      </c>
      <c r="I122" t="s">
        <v>23</v>
      </c>
      <c r="J122" t="s">
        <v>258</v>
      </c>
      <c r="K122" t="s">
        <v>35</v>
      </c>
      <c r="L122" t="s">
        <v>107</v>
      </c>
      <c r="M122">
        <v>32</v>
      </c>
      <c r="N122">
        <v>1</v>
      </c>
      <c r="O122">
        <v>3746</v>
      </c>
      <c r="P122">
        <v>3514</v>
      </c>
      <c r="Q122">
        <v>0.93806727175654026</v>
      </c>
    </row>
    <row r="123" spans="1:17" x14ac:dyDescent="0.55000000000000004">
      <c r="A123" t="s">
        <v>256</v>
      </c>
      <c r="B123" t="s">
        <v>257</v>
      </c>
      <c r="C123" t="s">
        <v>19</v>
      </c>
      <c r="D123" t="s">
        <v>82</v>
      </c>
      <c r="E123" s="1">
        <v>45368</v>
      </c>
      <c r="F123" s="1">
        <v>45372</v>
      </c>
      <c r="G123" t="s">
        <v>35</v>
      </c>
      <c r="H123" t="s">
        <v>22</v>
      </c>
      <c r="I123" t="s">
        <v>29</v>
      </c>
      <c r="J123" t="s">
        <v>259</v>
      </c>
      <c r="K123" t="s">
        <v>42</v>
      </c>
      <c r="L123" t="s">
        <v>107</v>
      </c>
      <c r="M123">
        <v>30</v>
      </c>
      <c r="N123">
        <v>0.93</v>
      </c>
      <c r="O123">
        <v>5413</v>
      </c>
      <c r="P123">
        <v>0</v>
      </c>
      <c r="Q123">
        <v>0</v>
      </c>
    </row>
    <row r="124" spans="1:17" x14ac:dyDescent="0.55000000000000004">
      <c r="A124" t="s">
        <v>256</v>
      </c>
      <c r="B124" t="s">
        <v>257</v>
      </c>
      <c r="C124" t="s">
        <v>19</v>
      </c>
      <c r="D124" t="s">
        <v>91</v>
      </c>
      <c r="E124" s="1">
        <v>45368</v>
      </c>
      <c r="F124" s="1">
        <v>45372</v>
      </c>
      <c r="G124" t="s">
        <v>35</v>
      </c>
      <c r="H124" t="s">
        <v>22</v>
      </c>
      <c r="I124" t="s">
        <v>33</v>
      </c>
      <c r="J124" t="s">
        <v>260</v>
      </c>
      <c r="K124" t="s">
        <v>25</v>
      </c>
      <c r="L124" t="s">
        <v>48</v>
      </c>
      <c r="M124">
        <v>28</v>
      </c>
      <c r="N124">
        <v>0.8</v>
      </c>
      <c r="O124">
        <v>6416</v>
      </c>
      <c r="P124">
        <v>0</v>
      </c>
      <c r="Q124">
        <v>0</v>
      </c>
    </row>
    <row r="125" spans="1:17" x14ac:dyDescent="0.55000000000000004">
      <c r="A125" t="s">
        <v>261</v>
      </c>
      <c r="B125" t="s">
        <v>262</v>
      </c>
      <c r="C125" t="s">
        <v>51</v>
      </c>
      <c r="D125" t="s">
        <v>74</v>
      </c>
      <c r="E125" s="1">
        <v>45322</v>
      </c>
      <c r="F125" s="1">
        <v>45441</v>
      </c>
      <c r="G125" t="s">
        <v>21</v>
      </c>
      <c r="H125" t="s">
        <v>28</v>
      </c>
      <c r="I125" t="s">
        <v>23</v>
      </c>
      <c r="J125" t="s">
        <v>263</v>
      </c>
      <c r="K125" t="s">
        <v>25</v>
      </c>
      <c r="L125" t="s">
        <v>56</v>
      </c>
      <c r="M125">
        <v>32</v>
      </c>
      <c r="N125">
        <v>0.05</v>
      </c>
      <c r="O125">
        <v>5512</v>
      </c>
      <c r="P125">
        <v>0</v>
      </c>
      <c r="Q125">
        <v>0</v>
      </c>
    </row>
    <row r="126" spans="1:17" x14ac:dyDescent="0.55000000000000004">
      <c r="A126" t="s">
        <v>261</v>
      </c>
      <c r="B126" t="s">
        <v>262</v>
      </c>
      <c r="C126" t="s">
        <v>51</v>
      </c>
      <c r="D126" t="s">
        <v>45</v>
      </c>
      <c r="E126" s="1">
        <v>45322</v>
      </c>
      <c r="F126" s="1">
        <v>45503</v>
      </c>
      <c r="G126" t="s">
        <v>21</v>
      </c>
      <c r="H126" t="s">
        <v>28</v>
      </c>
      <c r="I126" t="s">
        <v>29</v>
      </c>
      <c r="J126" t="s">
        <v>264</v>
      </c>
      <c r="K126" t="s">
        <v>42</v>
      </c>
      <c r="L126" t="s">
        <v>26</v>
      </c>
      <c r="M126">
        <v>7</v>
      </c>
      <c r="N126">
        <v>0.36</v>
      </c>
      <c r="O126">
        <v>6632</v>
      </c>
      <c r="P126">
        <v>0</v>
      </c>
      <c r="Q126">
        <v>0</v>
      </c>
    </row>
    <row r="127" spans="1:17" x14ac:dyDescent="0.55000000000000004">
      <c r="A127" t="s">
        <v>261</v>
      </c>
      <c r="B127" t="s">
        <v>262</v>
      </c>
      <c r="C127" t="s">
        <v>51</v>
      </c>
      <c r="D127" t="s">
        <v>27</v>
      </c>
      <c r="E127" s="1">
        <v>45322</v>
      </c>
      <c r="F127" s="1">
        <v>45506</v>
      </c>
      <c r="G127" t="s">
        <v>21</v>
      </c>
      <c r="H127" t="s">
        <v>22</v>
      </c>
      <c r="I127" t="s">
        <v>33</v>
      </c>
      <c r="J127" t="s">
        <v>265</v>
      </c>
      <c r="K127" t="s">
        <v>42</v>
      </c>
      <c r="L127" t="s">
        <v>48</v>
      </c>
      <c r="M127">
        <v>29</v>
      </c>
      <c r="N127">
        <v>0.66</v>
      </c>
      <c r="O127">
        <v>3321</v>
      </c>
      <c r="P127">
        <v>0</v>
      </c>
      <c r="Q127">
        <v>0</v>
      </c>
    </row>
    <row r="128" spans="1:17" x14ac:dyDescent="0.55000000000000004">
      <c r="A128" t="s">
        <v>266</v>
      </c>
      <c r="B128" t="s">
        <v>267</v>
      </c>
      <c r="C128" t="s">
        <v>79</v>
      </c>
      <c r="D128" t="s">
        <v>45</v>
      </c>
      <c r="E128" s="1">
        <v>45296</v>
      </c>
      <c r="F128" s="1">
        <v>45445</v>
      </c>
      <c r="G128" t="s">
        <v>40</v>
      </c>
      <c r="H128" t="s">
        <v>28</v>
      </c>
      <c r="I128" t="s">
        <v>23</v>
      </c>
      <c r="J128" t="s">
        <v>268</v>
      </c>
      <c r="K128" t="s">
        <v>25</v>
      </c>
      <c r="L128" t="s">
        <v>48</v>
      </c>
      <c r="M128">
        <v>35</v>
      </c>
      <c r="N128">
        <v>0.28000000000000003</v>
      </c>
      <c r="O128">
        <v>9960</v>
      </c>
      <c r="P128">
        <v>0</v>
      </c>
      <c r="Q128">
        <v>0</v>
      </c>
    </row>
    <row r="129" spans="1:17" x14ac:dyDescent="0.55000000000000004">
      <c r="A129" t="s">
        <v>266</v>
      </c>
      <c r="B129" t="s">
        <v>267</v>
      </c>
      <c r="C129" t="s">
        <v>79</v>
      </c>
      <c r="D129" t="s">
        <v>54</v>
      </c>
      <c r="E129" s="1">
        <v>45296</v>
      </c>
      <c r="F129" s="1">
        <v>45424</v>
      </c>
      <c r="G129" t="s">
        <v>40</v>
      </c>
      <c r="H129" t="s">
        <v>28</v>
      </c>
      <c r="I129" t="s">
        <v>29</v>
      </c>
      <c r="J129" t="s">
        <v>269</v>
      </c>
      <c r="K129" t="s">
        <v>35</v>
      </c>
      <c r="L129" t="s">
        <v>26</v>
      </c>
      <c r="M129">
        <v>6</v>
      </c>
      <c r="N129">
        <v>1</v>
      </c>
      <c r="O129">
        <v>7019</v>
      </c>
      <c r="P129">
        <v>6569</v>
      </c>
      <c r="Q129">
        <v>0.93588830317709071</v>
      </c>
    </row>
    <row r="130" spans="1:17" x14ac:dyDescent="0.55000000000000004">
      <c r="A130" t="s">
        <v>266</v>
      </c>
      <c r="B130" t="s">
        <v>267</v>
      </c>
      <c r="C130" t="s">
        <v>79</v>
      </c>
      <c r="D130" t="s">
        <v>74</v>
      </c>
      <c r="E130" s="1">
        <v>45296</v>
      </c>
      <c r="F130" s="1">
        <v>45466</v>
      </c>
      <c r="G130" t="s">
        <v>40</v>
      </c>
      <c r="H130" t="s">
        <v>28</v>
      </c>
      <c r="I130" t="s">
        <v>33</v>
      </c>
      <c r="J130" t="s">
        <v>270</v>
      </c>
      <c r="K130" t="s">
        <v>35</v>
      </c>
      <c r="L130" t="s">
        <v>179</v>
      </c>
      <c r="M130">
        <v>19</v>
      </c>
      <c r="N130">
        <v>1</v>
      </c>
      <c r="O130">
        <v>2549</v>
      </c>
      <c r="P130">
        <v>2168</v>
      </c>
      <c r="Q130">
        <v>0.85052961945861127</v>
      </c>
    </row>
    <row r="131" spans="1:17" x14ac:dyDescent="0.55000000000000004">
      <c r="A131" t="s">
        <v>271</v>
      </c>
      <c r="B131" t="s">
        <v>272</v>
      </c>
      <c r="C131" t="s">
        <v>19</v>
      </c>
      <c r="D131" t="s">
        <v>91</v>
      </c>
      <c r="E131" s="1">
        <v>45387</v>
      </c>
      <c r="F131" s="1">
        <v>45503</v>
      </c>
      <c r="G131" t="s">
        <v>21</v>
      </c>
      <c r="H131" t="s">
        <v>28</v>
      </c>
      <c r="I131" t="s">
        <v>23</v>
      </c>
      <c r="J131" t="s">
        <v>273</v>
      </c>
      <c r="K131" t="s">
        <v>42</v>
      </c>
      <c r="L131" t="s">
        <v>53</v>
      </c>
      <c r="M131">
        <v>34</v>
      </c>
      <c r="N131">
        <v>0.54</v>
      </c>
      <c r="O131">
        <v>4587</v>
      </c>
      <c r="P131">
        <v>0</v>
      </c>
      <c r="Q131">
        <v>0</v>
      </c>
    </row>
    <row r="132" spans="1:17" x14ac:dyDescent="0.55000000000000004">
      <c r="A132" t="s">
        <v>271</v>
      </c>
      <c r="B132" t="s">
        <v>272</v>
      </c>
      <c r="C132" t="s">
        <v>19</v>
      </c>
      <c r="D132" t="s">
        <v>27</v>
      </c>
      <c r="E132" s="1">
        <v>45387</v>
      </c>
      <c r="F132" s="1">
        <v>45553</v>
      </c>
      <c r="G132" t="s">
        <v>21</v>
      </c>
      <c r="H132" t="s">
        <v>46</v>
      </c>
      <c r="I132" t="s">
        <v>29</v>
      </c>
      <c r="J132" t="s">
        <v>274</v>
      </c>
      <c r="K132" t="s">
        <v>35</v>
      </c>
      <c r="L132" t="s">
        <v>31</v>
      </c>
      <c r="M132">
        <v>8</v>
      </c>
      <c r="N132">
        <v>1</v>
      </c>
      <c r="O132">
        <v>4629</v>
      </c>
      <c r="P132">
        <v>4482</v>
      </c>
      <c r="Q132">
        <v>0.96824368114063508</v>
      </c>
    </row>
    <row r="133" spans="1:17" x14ac:dyDescent="0.55000000000000004">
      <c r="A133" t="s">
        <v>271</v>
      </c>
      <c r="B133" t="s">
        <v>272</v>
      </c>
      <c r="C133" t="s">
        <v>19</v>
      </c>
      <c r="D133" t="s">
        <v>89</v>
      </c>
      <c r="E133" s="1">
        <v>45387</v>
      </c>
      <c r="F133" s="1">
        <v>45549</v>
      </c>
      <c r="G133" t="s">
        <v>21</v>
      </c>
      <c r="H133" t="s">
        <v>28</v>
      </c>
      <c r="I133" t="s">
        <v>33</v>
      </c>
      <c r="J133" t="s">
        <v>275</v>
      </c>
      <c r="K133" t="s">
        <v>25</v>
      </c>
      <c r="L133" t="s">
        <v>31</v>
      </c>
      <c r="M133">
        <v>30</v>
      </c>
      <c r="N133">
        <v>0.06</v>
      </c>
      <c r="O133">
        <v>4113</v>
      </c>
      <c r="P133">
        <v>0</v>
      </c>
      <c r="Q133">
        <v>0</v>
      </c>
    </row>
    <row r="134" spans="1:17" x14ac:dyDescent="0.55000000000000004">
      <c r="A134" t="s">
        <v>276</v>
      </c>
      <c r="B134" t="s">
        <v>277</v>
      </c>
      <c r="C134" t="s">
        <v>79</v>
      </c>
      <c r="D134" t="s">
        <v>32</v>
      </c>
      <c r="E134" s="1">
        <v>45454</v>
      </c>
      <c r="F134" s="1">
        <v>45487</v>
      </c>
      <c r="G134" t="s">
        <v>35</v>
      </c>
      <c r="H134" t="s">
        <v>22</v>
      </c>
      <c r="I134" t="s">
        <v>23</v>
      </c>
      <c r="J134" t="s">
        <v>278</v>
      </c>
      <c r="K134" t="s">
        <v>35</v>
      </c>
      <c r="L134" t="s">
        <v>81</v>
      </c>
      <c r="M134">
        <v>25</v>
      </c>
      <c r="N134">
        <v>1</v>
      </c>
      <c r="O134">
        <v>3423</v>
      </c>
      <c r="P134">
        <v>3361</v>
      </c>
      <c r="Q134">
        <v>0.98188723342097572</v>
      </c>
    </row>
    <row r="135" spans="1:17" x14ac:dyDescent="0.55000000000000004">
      <c r="A135" t="s">
        <v>276</v>
      </c>
      <c r="B135" t="s">
        <v>277</v>
      </c>
      <c r="C135" t="s">
        <v>79</v>
      </c>
      <c r="D135" t="s">
        <v>20</v>
      </c>
      <c r="E135" s="1">
        <v>45454</v>
      </c>
      <c r="F135" s="1">
        <v>45713</v>
      </c>
      <c r="G135" t="s">
        <v>35</v>
      </c>
      <c r="H135" t="s">
        <v>28</v>
      </c>
      <c r="I135" t="s">
        <v>29</v>
      </c>
      <c r="J135" t="s">
        <v>279</v>
      </c>
      <c r="K135" t="s">
        <v>25</v>
      </c>
      <c r="L135" t="s">
        <v>31</v>
      </c>
      <c r="M135">
        <v>39</v>
      </c>
      <c r="N135">
        <v>0.55000000000000004</v>
      </c>
      <c r="O135">
        <v>2297</v>
      </c>
      <c r="P135">
        <v>0</v>
      </c>
      <c r="Q135">
        <v>0</v>
      </c>
    </row>
    <row r="136" spans="1:17" x14ac:dyDescent="0.55000000000000004">
      <c r="A136" t="s">
        <v>276</v>
      </c>
      <c r="B136" t="s">
        <v>277</v>
      </c>
      <c r="C136" t="s">
        <v>79</v>
      </c>
      <c r="D136" t="s">
        <v>54</v>
      </c>
      <c r="E136" s="1">
        <v>45454</v>
      </c>
      <c r="F136" s="1">
        <v>45487</v>
      </c>
      <c r="G136" t="s">
        <v>35</v>
      </c>
      <c r="H136" t="s">
        <v>46</v>
      </c>
      <c r="I136" t="s">
        <v>33</v>
      </c>
      <c r="J136" t="s">
        <v>280</v>
      </c>
      <c r="K136" t="s">
        <v>35</v>
      </c>
      <c r="L136" t="s">
        <v>26</v>
      </c>
      <c r="M136">
        <v>39</v>
      </c>
      <c r="N136">
        <v>1</v>
      </c>
      <c r="O136">
        <v>2868</v>
      </c>
      <c r="P136">
        <v>2425</v>
      </c>
      <c r="Q136">
        <v>0.84553695955369601</v>
      </c>
    </row>
    <row r="137" spans="1:17" x14ac:dyDescent="0.55000000000000004">
      <c r="A137" t="s">
        <v>281</v>
      </c>
      <c r="B137" t="s">
        <v>282</v>
      </c>
      <c r="C137" t="s">
        <v>19</v>
      </c>
      <c r="D137" t="s">
        <v>45</v>
      </c>
      <c r="E137" s="1">
        <v>45456</v>
      </c>
      <c r="F137" s="1">
        <v>45459</v>
      </c>
      <c r="G137" t="s">
        <v>35</v>
      </c>
      <c r="H137" t="s">
        <v>28</v>
      </c>
      <c r="I137" t="s">
        <v>23</v>
      </c>
      <c r="J137" t="s">
        <v>283</v>
      </c>
      <c r="K137" t="s">
        <v>25</v>
      </c>
      <c r="L137" t="s">
        <v>26</v>
      </c>
      <c r="M137">
        <v>39</v>
      </c>
      <c r="N137">
        <v>0.51</v>
      </c>
      <c r="O137">
        <v>1771</v>
      </c>
      <c r="P137">
        <v>0</v>
      </c>
      <c r="Q137">
        <v>0</v>
      </c>
    </row>
    <row r="138" spans="1:17" x14ac:dyDescent="0.55000000000000004">
      <c r="A138" t="s">
        <v>281</v>
      </c>
      <c r="B138" t="s">
        <v>282</v>
      </c>
      <c r="C138" t="s">
        <v>19</v>
      </c>
      <c r="D138" t="s">
        <v>74</v>
      </c>
      <c r="E138" s="1">
        <v>45456</v>
      </c>
      <c r="F138" s="1">
        <v>45459</v>
      </c>
      <c r="G138" t="s">
        <v>35</v>
      </c>
      <c r="H138" t="s">
        <v>22</v>
      </c>
      <c r="I138" t="s">
        <v>29</v>
      </c>
      <c r="J138" t="s">
        <v>284</v>
      </c>
      <c r="K138" t="s">
        <v>42</v>
      </c>
      <c r="L138" t="s">
        <v>107</v>
      </c>
      <c r="M138">
        <v>25</v>
      </c>
      <c r="N138">
        <v>0.43</v>
      </c>
      <c r="O138">
        <v>1781</v>
      </c>
      <c r="P138">
        <v>0</v>
      </c>
      <c r="Q138">
        <v>0</v>
      </c>
    </row>
    <row r="139" spans="1:17" x14ac:dyDescent="0.55000000000000004">
      <c r="A139" t="s">
        <v>281</v>
      </c>
      <c r="B139" t="s">
        <v>282</v>
      </c>
      <c r="C139" t="s">
        <v>19</v>
      </c>
      <c r="D139" t="s">
        <v>82</v>
      </c>
      <c r="E139" s="1">
        <v>45456</v>
      </c>
      <c r="F139" s="1">
        <v>45461</v>
      </c>
      <c r="G139" t="s">
        <v>35</v>
      </c>
      <c r="H139" t="s">
        <v>28</v>
      </c>
      <c r="I139" t="s">
        <v>33</v>
      </c>
      <c r="J139" t="s">
        <v>285</v>
      </c>
      <c r="K139" t="s">
        <v>25</v>
      </c>
      <c r="L139" t="s">
        <v>107</v>
      </c>
      <c r="M139">
        <v>11</v>
      </c>
      <c r="N139">
        <v>0.18</v>
      </c>
      <c r="O139">
        <v>7012</v>
      </c>
      <c r="P139">
        <v>0</v>
      </c>
      <c r="Q139">
        <v>0</v>
      </c>
    </row>
    <row r="140" spans="1:17" x14ac:dyDescent="0.55000000000000004">
      <c r="A140" t="s">
        <v>286</v>
      </c>
      <c r="B140" t="s">
        <v>287</v>
      </c>
      <c r="C140" t="s">
        <v>38</v>
      </c>
      <c r="D140" t="s">
        <v>82</v>
      </c>
      <c r="E140" s="1">
        <v>45470</v>
      </c>
      <c r="F140" s="1">
        <v>45503</v>
      </c>
      <c r="G140" t="s">
        <v>95</v>
      </c>
      <c r="H140" t="s">
        <v>28</v>
      </c>
      <c r="I140" t="s">
        <v>23</v>
      </c>
      <c r="J140" t="s">
        <v>288</v>
      </c>
      <c r="K140" t="s">
        <v>35</v>
      </c>
      <c r="L140" t="s">
        <v>107</v>
      </c>
      <c r="M140">
        <v>36</v>
      </c>
      <c r="N140">
        <v>1</v>
      </c>
      <c r="O140">
        <v>2554</v>
      </c>
      <c r="P140">
        <v>2262</v>
      </c>
      <c r="Q140">
        <v>0.88566953797963976</v>
      </c>
    </row>
    <row r="141" spans="1:17" x14ac:dyDescent="0.55000000000000004">
      <c r="A141" t="s">
        <v>286</v>
      </c>
      <c r="B141" t="s">
        <v>287</v>
      </c>
      <c r="C141" t="s">
        <v>38</v>
      </c>
      <c r="D141" t="s">
        <v>87</v>
      </c>
      <c r="E141" s="1">
        <v>45470</v>
      </c>
      <c r="F141" s="1">
        <v>45666</v>
      </c>
      <c r="G141" t="s">
        <v>95</v>
      </c>
      <c r="H141" t="s">
        <v>28</v>
      </c>
      <c r="I141" t="s">
        <v>29</v>
      </c>
      <c r="J141" t="s">
        <v>289</v>
      </c>
      <c r="K141" t="s">
        <v>25</v>
      </c>
      <c r="L141" t="s">
        <v>31</v>
      </c>
      <c r="M141">
        <v>24</v>
      </c>
      <c r="N141">
        <v>0.68</v>
      </c>
      <c r="O141">
        <v>8357</v>
      </c>
      <c r="P141">
        <v>0</v>
      </c>
      <c r="Q141">
        <v>0</v>
      </c>
    </row>
    <row r="142" spans="1:17" x14ac:dyDescent="0.55000000000000004">
      <c r="A142" t="s">
        <v>286</v>
      </c>
      <c r="B142" t="s">
        <v>287</v>
      </c>
      <c r="C142" t="s">
        <v>38</v>
      </c>
      <c r="D142" t="s">
        <v>39</v>
      </c>
      <c r="E142" s="1">
        <v>45470</v>
      </c>
      <c r="F142" s="1">
        <v>45560</v>
      </c>
      <c r="G142" t="s">
        <v>95</v>
      </c>
      <c r="H142" t="s">
        <v>28</v>
      </c>
      <c r="I142" t="s">
        <v>33</v>
      </c>
      <c r="J142" t="s">
        <v>290</v>
      </c>
      <c r="K142" t="s">
        <v>35</v>
      </c>
      <c r="L142" t="s">
        <v>179</v>
      </c>
      <c r="M142">
        <v>18</v>
      </c>
      <c r="N142">
        <v>1</v>
      </c>
      <c r="O142">
        <v>9034</v>
      </c>
      <c r="P142">
        <v>8655</v>
      </c>
      <c r="Q142">
        <v>0.95804737657737438</v>
      </c>
    </row>
    <row r="143" spans="1:17" x14ac:dyDescent="0.55000000000000004">
      <c r="A143" t="s">
        <v>291</v>
      </c>
      <c r="B143" t="s">
        <v>292</v>
      </c>
      <c r="C143" t="s">
        <v>51</v>
      </c>
      <c r="D143" t="s">
        <v>82</v>
      </c>
      <c r="E143" s="1">
        <v>45452</v>
      </c>
      <c r="F143" s="1">
        <v>45641</v>
      </c>
      <c r="G143" t="s">
        <v>35</v>
      </c>
      <c r="H143" t="s">
        <v>28</v>
      </c>
      <c r="I143" t="s">
        <v>23</v>
      </c>
      <c r="J143" t="s">
        <v>293</v>
      </c>
      <c r="K143" t="s">
        <v>25</v>
      </c>
      <c r="L143" t="s">
        <v>179</v>
      </c>
      <c r="M143">
        <v>35</v>
      </c>
      <c r="N143">
        <v>0.49</v>
      </c>
      <c r="O143">
        <v>5180</v>
      </c>
      <c r="P143">
        <v>0</v>
      </c>
      <c r="Q143">
        <v>0</v>
      </c>
    </row>
    <row r="144" spans="1:17" x14ac:dyDescent="0.55000000000000004">
      <c r="A144" t="s">
        <v>291</v>
      </c>
      <c r="B144" t="s">
        <v>292</v>
      </c>
      <c r="C144" t="s">
        <v>51</v>
      </c>
      <c r="D144" t="s">
        <v>54</v>
      </c>
      <c r="E144" s="1">
        <v>45452</v>
      </c>
      <c r="F144" s="1">
        <v>45596</v>
      </c>
      <c r="G144" t="s">
        <v>35</v>
      </c>
      <c r="H144" t="s">
        <v>46</v>
      </c>
      <c r="I144" t="s">
        <v>29</v>
      </c>
      <c r="J144" t="s">
        <v>294</v>
      </c>
      <c r="K144" t="s">
        <v>42</v>
      </c>
      <c r="L144" t="s">
        <v>53</v>
      </c>
      <c r="M144">
        <v>14</v>
      </c>
      <c r="N144">
        <v>0.96</v>
      </c>
      <c r="O144">
        <v>5368</v>
      </c>
      <c r="P144">
        <v>0</v>
      </c>
      <c r="Q144">
        <v>0</v>
      </c>
    </row>
    <row r="145" spans="1:17" x14ac:dyDescent="0.55000000000000004">
      <c r="A145" t="s">
        <v>291</v>
      </c>
      <c r="B145" t="s">
        <v>292</v>
      </c>
      <c r="C145" t="s">
        <v>51</v>
      </c>
      <c r="D145" t="s">
        <v>82</v>
      </c>
      <c r="E145" s="1">
        <v>45452</v>
      </c>
      <c r="F145" s="1">
        <v>45598</v>
      </c>
      <c r="G145" t="s">
        <v>35</v>
      </c>
      <c r="H145" t="s">
        <v>22</v>
      </c>
      <c r="I145" t="s">
        <v>33</v>
      </c>
      <c r="J145" t="s">
        <v>295</v>
      </c>
      <c r="K145" t="s">
        <v>25</v>
      </c>
      <c r="L145" t="s">
        <v>179</v>
      </c>
      <c r="M145">
        <v>4</v>
      </c>
      <c r="N145">
        <v>0.97</v>
      </c>
      <c r="O145">
        <v>3812</v>
      </c>
      <c r="P145">
        <v>0</v>
      </c>
      <c r="Q145">
        <v>0</v>
      </c>
    </row>
    <row r="146" spans="1:17" x14ac:dyDescent="0.55000000000000004">
      <c r="A146" t="s">
        <v>296</v>
      </c>
      <c r="B146" t="s">
        <v>297</v>
      </c>
      <c r="C146" t="s">
        <v>60</v>
      </c>
      <c r="D146" t="s">
        <v>39</v>
      </c>
      <c r="E146" s="1">
        <v>45475</v>
      </c>
      <c r="F146" s="1">
        <v>45515</v>
      </c>
      <c r="G146" t="s">
        <v>35</v>
      </c>
      <c r="H146" t="s">
        <v>22</v>
      </c>
      <c r="I146" t="s">
        <v>23</v>
      </c>
      <c r="J146" t="s">
        <v>298</v>
      </c>
      <c r="K146" t="s">
        <v>35</v>
      </c>
      <c r="L146" t="s">
        <v>53</v>
      </c>
      <c r="M146">
        <v>20</v>
      </c>
      <c r="N146">
        <v>1</v>
      </c>
      <c r="O146">
        <v>2237</v>
      </c>
      <c r="P146">
        <v>2196</v>
      </c>
      <c r="Q146">
        <v>0.98167188198480104</v>
      </c>
    </row>
    <row r="147" spans="1:17" x14ac:dyDescent="0.55000000000000004">
      <c r="A147" t="s">
        <v>296</v>
      </c>
      <c r="B147" t="s">
        <v>297</v>
      </c>
      <c r="C147" t="s">
        <v>60</v>
      </c>
      <c r="D147" t="s">
        <v>20</v>
      </c>
      <c r="E147" s="1">
        <v>45475</v>
      </c>
      <c r="F147" s="1">
        <v>45517</v>
      </c>
      <c r="G147" t="s">
        <v>35</v>
      </c>
      <c r="H147" t="s">
        <v>46</v>
      </c>
      <c r="I147" t="s">
        <v>29</v>
      </c>
      <c r="J147" t="s">
        <v>299</v>
      </c>
      <c r="K147" t="s">
        <v>42</v>
      </c>
      <c r="L147" t="s">
        <v>81</v>
      </c>
      <c r="M147">
        <v>35</v>
      </c>
      <c r="N147">
        <v>0.44</v>
      </c>
      <c r="O147">
        <v>8742</v>
      </c>
      <c r="P147">
        <v>0</v>
      </c>
      <c r="Q147">
        <v>0</v>
      </c>
    </row>
    <row r="148" spans="1:17" x14ac:dyDescent="0.55000000000000004">
      <c r="A148" t="s">
        <v>296</v>
      </c>
      <c r="B148" t="s">
        <v>297</v>
      </c>
      <c r="C148" t="s">
        <v>60</v>
      </c>
      <c r="D148" t="s">
        <v>43</v>
      </c>
      <c r="E148" s="1">
        <v>45475</v>
      </c>
      <c r="F148" s="1">
        <v>45527</v>
      </c>
      <c r="G148" t="s">
        <v>35</v>
      </c>
      <c r="H148" t="s">
        <v>22</v>
      </c>
      <c r="I148" t="s">
        <v>33</v>
      </c>
      <c r="J148" t="s">
        <v>300</v>
      </c>
      <c r="K148" t="s">
        <v>42</v>
      </c>
      <c r="L148" t="s">
        <v>31</v>
      </c>
      <c r="M148">
        <v>8</v>
      </c>
      <c r="N148">
        <v>0.76</v>
      </c>
      <c r="O148">
        <v>2613</v>
      </c>
      <c r="P148">
        <v>0</v>
      </c>
      <c r="Q148">
        <v>0</v>
      </c>
    </row>
    <row r="149" spans="1:17" x14ac:dyDescent="0.55000000000000004">
      <c r="A149" t="s">
        <v>301</v>
      </c>
      <c r="B149" t="s">
        <v>302</v>
      </c>
      <c r="C149" t="s">
        <v>66</v>
      </c>
      <c r="D149" t="s">
        <v>87</v>
      </c>
      <c r="E149" s="1">
        <v>45455</v>
      </c>
      <c r="F149" s="1">
        <v>45495</v>
      </c>
      <c r="G149" t="s">
        <v>40</v>
      </c>
      <c r="H149" t="s">
        <v>28</v>
      </c>
      <c r="I149" t="s">
        <v>23</v>
      </c>
      <c r="J149" t="s">
        <v>303</v>
      </c>
      <c r="K149" t="s">
        <v>25</v>
      </c>
      <c r="L149" t="s">
        <v>107</v>
      </c>
      <c r="M149">
        <v>38</v>
      </c>
      <c r="N149">
        <v>0.71</v>
      </c>
      <c r="O149">
        <v>9467</v>
      </c>
      <c r="P149">
        <v>0</v>
      </c>
      <c r="Q149">
        <v>0</v>
      </c>
    </row>
    <row r="150" spans="1:17" x14ac:dyDescent="0.55000000000000004">
      <c r="A150" t="s">
        <v>301</v>
      </c>
      <c r="B150" t="s">
        <v>302</v>
      </c>
      <c r="C150" t="s">
        <v>66</v>
      </c>
      <c r="D150" t="s">
        <v>54</v>
      </c>
      <c r="E150" s="1">
        <v>45455</v>
      </c>
      <c r="F150" s="1">
        <v>45498</v>
      </c>
      <c r="G150" t="s">
        <v>40</v>
      </c>
      <c r="H150" t="s">
        <v>28</v>
      </c>
      <c r="I150" t="s">
        <v>29</v>
      </c>
      <c r="J150" t="s">
        <v>304</v>
      </c>
      <c r="K150" t="s">
        <v>35</v>
      </c>
      <c r="L150" t="s">
        <v>53</v>
      </c>
      <c r="M150">
        <v>40</v>
      </c>
      <c r="N150">
        <v>1</v>
      </c>
      <c r="O150">
        <v>1380</v>
      </c>
      <c r="P150">
        <v>1005</v>
      </c>
      <c r="Q150">
        <v>0.72826086956521741</v>
      </c>
    </row>
    <row r="151" spans="1:17" x14ac:dyDescent="0.55000000000000004">
      <c r="A151" t="s">
        <v>301</v>
      </c>
      <c r="B151" t="s">
        <v>302</v>
      </c>
      <c r="C151" t="s">
        <v>66</v>
      </c>
      <c r="D151" t="s">
        <v>39</v>
      </c>
      <c r="E151" s="1">
        <v>45455</v>
      </c>
      <c r="F151" s="1">
        <v>45504</v>
      </c>
      <c r="G151" t="s">
        <v>40</v>
      </c>
      <c r="H151" t="s">
        <v>28</v>
      </c>
      <c r="I151" t="s">
        <v>33</v>
      </c>
      <c r="J151" t="s">
        <v>305</v>
      </c>
      <c r="K151" t="s">
        <v>25</v>
      </c>
      <c r="L151" t="s">
        <v>179</v>
      </c>
      <c r="M151">
        <v>18</v>
      </c>
      <c r="N151">
        <v>0.09</v>
      </c>
      <c r="O151">
        <v>1169</v>
      </c>
      <c r="P151">
        <v>0</v>
      </c>
      <c r="Q151">
        <v>0</v>
      </c>
    </row>
    <row r="152" spans="1:17" x14ac:dyDescent="0.55000000000000004">
      <c r="A152" t="s">
        <v>306</v>
      </c>
      <c r="B152" t="s">
        <v>307</v>
      </c>
      <c r="C152" t="s">
        <v>19</v>
      </c>
      <c r="D152" t="s">
        <v>32</v>
      </c>
      <c r="E152" s="1">
        <v>45374</v>
      </c>
      <c r="F152" s="1">
        <v>45638</v>
      </c>
      <c r="G152" t="s">
        <v>21</v>
      </c>
      <c r="H152" t="s">
        <v>46</v>
      </c>
      <c r="I152" t="s">
        <v>23</v>
      </c>
      <c r="J152" t="s">
        <v>308</v>
      </c>
      <c r="K152" t="s">
        <v>42</v>
      </c>
      <c r="L152" t="s">
        <v>48</v>
      </c>
      <c r="M152">
        <v>19</v>
      </c>
      <c r="N152">
        <v>0.03</v>
      </c>
      <c r="O152">
        <v>7063</v>
      </c>
      <c r="P152">
        <v>0</v>
      </c>
      <c r="Q152">
        <v>0</v>
      </c>
    </row>
    <row r="153" spans="1:17" x14ac:dyDescent="0.55000000000000004">
      <c r="A153" t="s">
        <v>306</v>
      </c>
      <c r="B153" t="s">
        <v>307</v>
      </c>
      <c r="C153" t="s">
        <v>19</v>
      </c>
      <c r="D153" t="s">
        <v>54</v>
      </c>
      <c r="E153" s="1">
        <v>45374</v>
      </c>
      <c r="F153" s="1">
        <v>45560</v>
      </c>
      <c r="G153" t="s">
        <v>21</v>
      </c>
      <c r="H153" t="s">
        <v>28</v>
      </c>
      <c r="I153" t="s">
        <v>29</v>
      </c>
      <c r="J153" t="s">
        <v>309</v>
      </c>
      <c r="K153" t="s">
        <v>35</v>
      </c>
      <c r="L153" t="s">
        <v>56</v>
      </c>
      <c r="M153">
        <v>27</v>
      </c>
      <c r="N153">
        <v>1</v>
      </c>
      <c r="O153">
        <v>3221</v>
      </c>
      <c r="P153">
        <v>3074</v>
      </c>
      <c r="Q153">
        <v>0.95436199937907484</v>
      </c>
    </row>
    <row r="154" spans="1:17" x14ac:dyDescent="0.55000000000000004">
      <c r="A154" t="s">
        <v>306</v>
      </c>
      <c r="B154" t="s">
        <v>307</v>
      </c>
      <c r="C154" t="s">
        <v>19</v>
      </c>
      <c r="D154" t="s">
        <v>82</v>
      </c>
      <c r="E154" s="1">
        <v>45374</v>
      </c>
      <c r="F154" s="1">
        <v>45586</v>
      </c>
      <c r="G154" t="s">
        <v>21</v>
      </c>
      <c r="H154" t="s">
        <v>28</v>
      </c>
      <c r="I154" t="s">
        <v>33</v>
      </c>
      <c r="J154" t="s">
        <v>310</v>
      </c>
      <c r="K154" t="s">
        <v>25</v>
      </c>
      <c r="L154" t="s">
        <v>81</v>
      </c>
      <c r="M154">
        <v>12</v>
      </c>
      <c r="N154">
        <v>0.41</v>
      </c>
      <c r="O154">
        <v>1201</v>
      </c>
      <c r="P154">
        <v>0</v>
      </c>
      <c r="Q154">
        <v>0</v>
      </c>
    </row>
    <row r="155" spans="1:17" x14ac:dyDescent="0.55000000000000004">
      <c r="A155" t="s">
        <v>311</v>
      </c>
      <c r="B155" t="s">
        <v>312</v>
      </c>
      <c r="C155" t="s">
        <v>79</v>
      </c>
      <c r="D155" t="s">
        <v>54</v>
      </c>
      <c r="E155" s="1">
        <v>45439</v>
      </c>
      <c r="F155" s="1">
        <v>45865</v>
      </c>
      <c r="G155" t="s">
        <v>95</v>
      </c>
      <c r="H155" t="s">
        <v>46</v>
      </c>
      <c r="I155" t="s">
        <v>23</v>
      </c>
      <c r="J155" t="s">
        <v>313</v>
      </c>
      <c r="K155" t="s">
        <v>25</v>
      </c>
      <c r="L155" t="s">
        <v>81</v>
      </c>
      <c r="M155">
        <v>19</v>
      </c>
      <c r="N155">
        <v>0.88</v>
      </c>
      <c r="O155">
        <v>8114</v>
      </c>
      <c r="P155">
        <v>9104</v>
      </c>
      <c r="Q155">
        <v>1.1220113384274095</v>
      </c>
    </row>
    <row r="156" spans="1:17" x14ac:dyDescent="0.55000000000000004">
      <c r="A156" t="s">
        <v>311</v>
      </c>
      <c r="B156" t="s">
        <v>312</v>
      </c>
      <c r="C156" t="s">
        <v>79</v>
      </c>
      <c r="D156" t="s">
        <v>32</v>
      </c>
      <c r="E156" s="1">
        <v>45439</v>
      </c>
      <c r="F156" s="1">
        <v>45819</v>
      </c>
      <c r="G156" t="s">
        <v>95</v>
      </c>
      <c r="H156" t="s">
        <v>46</v>
      </c>
      <c r="I156" t="s">
        <v>29</v>
      </c>
      <c r="J156" t="s">
        <v>314</v>
      </c>
      <c r="K156" t="s">
        <v>42</v>
      </c>
      <c r="L156" t="s">
        <v>53</v>
      </c>
      <c r="M156">
        <v>14</v>
      </c>
      <c r="N156">
        <v>0.19</v>
      </c>
      <c r="O156">
        <v>7222</v>
      </c>
      <c r="P156">
        <v>0</v>
      </c>
      <c r="Q156">
        <v>0</v>
      </c>
    </row>
    <row r="157" spans="1:17" x14ac:dyDescent="0.55000000000000004">
      <c r="A157" t="s">
        <v>311</v>
      </c>
      <c r="B157" t="s">
        <v>312</v>
      </c>
      <c r="C157" t="s">
        <v>79</v>
      </c>
      <c r="D157" t="s">
        <v>87</v>
      </c>
      <c r="E157" s="1">
        <v>45439</v>
      </c>
      <c r="F157" s="1">
        <v>45891</v>
      </c>
      <c r="G157" t="s">
        <v>95</v>
      </c>
      <c r="H157" t="s">
        <v>28</v>
      </c>
      <c r="I157" t="s">
        <v>33</v>
      </c>
      <c r="J157" t="s">
        <v>315</v>
      </c>
      <c r="K157" t="s">
        <v>25</v>
      </c>
      <c r="L157" t="s">
        <v>81</v>
      </c>
      <c r="M157">
        <v>9</v>
      </c>
      <c r="N157">
        <v>0.63</v>
      </c>
      <c r="O157">
        <v>2022</v>
      </c>
      <c r="P157">
        <v>0</v>
      </c>
      <c r="Q157">
        <v>0</v>
      </c>
    </row>
    <row r="158" spans="1:17" x14ac:dyDescent="0.55000000000000004">
      <c r="A158" t="s">
        <v>316</v>
      </c>
      <c r="B158" t="s">
        <v>317</v>
      </c>
      <c r="C158" t="s">
        <v>51</v>
      </c>
      <c r="D158" t="s">
        <v>20</v>
      </c>
      <c r="E158" s="1">
        <v>45461</v>
      </c>
      <c r="F158" s="1">
        <v>45623</v>
      </c>
      <c r="G158" t="s">
        <v>40</v>
      </c>
      <c r="H158" t="s">
        <v>46</v>
      </c>
      <c r="I158" t="s">
        <v>23</v>
      </c>
      <c r="J158" t="s">
        <v>318</v>
      </c>
      <c r="K158" t="s">
        <v>25</v>
      </c>
      <c r="L158" t="s">
        <v>48</v>
      </c>
      <c r="M158">
        <v>3</v>
      </c>
      <c r="N158">
        <v>0.48</v>
      </c>
      <c r="O158">
        <v>9700</v>
      </c>
      <c r="P158">
        <v>0</v>
      </c>
      <c r="Q158">
        <v>0</v>
      </c>
    </row>
    <row r="159" spans="1:17" x14ac:dyDescent="0.55000000000000004">
      <c r="A159" t="s">
        <v>316</v>
      </c>
      <c r="B159" t="s">
        <v>317</v>
      </c>
      <c r="C159" t="s">
        <v>51</v>
      </c>
      <c r="D159" t="s">
        <v>27</v>
      </c>
      <c r="E159" s="1">
        <v>45461</v>
      </c>
      <c r="F159" s="1">
        <v>45586</v>
      </c>
      <c r="G159" t="s">
        <v>40</v>
      </c>
      <c r="H159" t="s">
        <v>28</v>
      </c>
      <c r="I159" t="s">
        <v>29</v>
      </c>
      <c r="J159" t="s">
        <v>319</v>
      </c>
      <c r="K159" t="s">
        <v>42</v>
      </c>
      <c r="L159" t="s">
        <v>31</v>
      </c>
      <c r="M159">
        <v>21</v>
      </c>
      <c r="N159">
        <v>0.45</v>
      </c>
      <c r="O159">
        <v>7624</v>
      </c>
      <c r="P159">
        <v>0</v>
      </c>
      <c r="Q159">
        <v>0</v>
      </c>
    </row>
    <row r="160" spans="1:17" x14ac:dyDescent="0.55000000000000004">
      <c r="A160" t="s">
        <v>316</v>
      </c>
      <c r="B160" t="s">
        <v>317</v>
      </c>
      <c r="C160" t="s">
        <v>51</v>
      </c>
      <c r="D160" t="s">
        <v>32</v>
      </c>
      <c r="E160" s="1">
        <v>45461</v>
      </c>
      <c r="F160" s="1">
        <v>45603</v>
      </c>
      <c r="G160" t="s">
        <v>40</v>
      </c>
      <c r="H160" t="s">
        <v>28</v>
      </c>
      <c r="I160" t="s">
        <v>33</v>
      </c>
      <c r="J160" t="s">
        <v>320</v>
      </c>
      <c r="K160" t="s">
        <v>42</v>
      </c>
      <c r="L160" t="s">
        <v>31</v>
      </c>
      <c r="M160">
        <v>6</v>
      </c>
      <c r="N160">
        <v>0.66</v>
      </c>
      <c r="O160">
        <v>9072</v>
      </c>
      <c r="P160">
        <v>0</v>
      </c>
      <c r="Q160">
        <v>0</v>
      </c>
    </row>
    <row r="161" spans="1:17" x14ac:dyDescent="0.55000000000000004">
      <c r="A161" t="s">
        <v>321</v>
      </c>
      <c r="B161" t="s">
        <v>322</v>
      </c>
      <c r="C161" t="s">
        <v>79</v>
      </c>
      <c r="D161" t="s">
        <v>27</v>
      </c>
      <c r="E161" s="1">
        <v>45397</v>
      </c>
      <c r="F161" s="1">
        <v>45652</v>
      </c>
      <c r="G161" t="s">
        <v>21</v>
      </c>
      <c r="H161" t="s">
        <v>28</v>
      </c>
      <c r="I161" t="s">
        <v>23</v>
      </c>
      <c r="J161" t="s">
        <v>323</v>
      </c>
      <c r="K161" t="s">
        <v>42</v>
      </c>
      <c r="L161" t="s">
        <v>31</v>
      </c>
      <c r="M161">
        <v>25</v>
      </c>
      <c r="N161">
        <v>0.95</v>
      </c>
      <c r="O161">
        <v>6793</v>
      </c>
      <c r="P161">
        <v>0</v>
      </c>
      <c r="Q161">
        <v>0</v>
      </c>
    </row>
    <row r="162" spans="1:17" x14ac:dyDescent="0.55000000000000004">
      <c r="A162" t="s">
        <v>321</v>
      </c>
      <c r="B162" t="s">
        <v>322</v>
      </c>
      <c r="C162" t="s">
        <v>79</v>
      </c>
      <c r="D162" t="s">
        <v>45</v>
      </c>
      <c r="E162" s="1">
        <v>45397</v>
      </c>
      <c r="F162" s="1">
        <v>45722</v>
      </c>
      <c r="G162" t="s">
        <v>21</v>
      </c>
      <c r="H162" t="s">
        <v>28</v>
      </c>
      <c r="I162" t="s">
        <v>29</v>
      </c>
      <c r="J162" t="s">
        <v>324</v>
      </c>
      <c r="K162" t="s">
        <v>42</v>
      </c>
      <c r="L162" t="s">
        <v>81</v>
      </c>
      <c r="M162">
        <v>33</v>
      </c>
      <c r="N162">
        <v>0.32</v>
      </c>
      <c r="O162">
        <v>2398</v>
      </c>
      <c r="P162">
        <v>0</v>
      </c>
      <c r="Q162">
        <v>0</v>
      </c>
    </row>
    <row r="163" spans="1:17" x14ac:dyDescent="0.55000000000000004">
      <c r="A163" t="s">
        <v>321</v>
      </c>
      <c r="B163" t="s">
        <v>322</v>
      </c>
      <c r="C163" t="s">
        <v>79</v>
      </c>
      <c r="D163" t="s">
        <v>43</v>
      </c>
      <c r="E163" s="1">
        <v>45397</v>
      </c>
      <c r="F163" s="1">
        <v>45776</v>
      </c>
      <c r="G163" t="s">
        <v>21</v>
      </c>
      <c r="H163" t="s">
        <v>46</v>
      </c>
      <c r="I163" t="s">
        <v>33</v>
      </c>
      <c r="J163" t="s">
        <v>325</v>
      </c>
      <c r="K163" t="s">
        <v>25</v>
      </c>
      <c r="L163" t="s">
        <v>107</v>
      </c>
      <c r="M163">
        <v>16</v>
      </c>
      <c r="N163">
        <v>0.75</v>
      </c>
      <c r="O163">
        <v>9449</v>
      </c>
      <c r="P163">
        <v>0</v>
      </c>
      <c r="Q163">
        <v>0</v>
      </c>
    </row>
    <row r="164" spans="1:17" x14ac:dyDescent="0.55000000000000004">
      <c r="A164" t="s">
        <v>326</v>
      </c>
      <c r="B164" t="s">
        <v>327</v>
      </c>
      <c r="C164" t="s">
        <v>79</v>
      </c>
      <c r="D164" t="s">
        <v>54</v>
      </c>
      <c r="E164" s="1">
        <v>45532</v>
      </c>
      <c r="F164" s="1">
        <v>45768</v>
      </c>
      <c r="G164" t="s">
        <v>95</v>
      </c>
      <c r="H164" t="s">
        <v>28</v>
      </c>
      <c r="I164" t="s">
        <v>23</v>
      </c>
      <c r="J164" t="s">
        <v>328</v>
      </c>
      <c r="K164" t="s">
        <v>25</v>
      </c>
      <c r="L164" t="s">
        <v>179</v>
      </c>
      <c r="M164">
        <v>17</v>
      </c>
      <c r="N164">
        <v>0.36</v>
      </c>
      <c r="O164">
        <v>8386</v>
      </c>
      <c r="P164">
        <v>0</v>
      </c>
      <c r="Q164">
        <v>0</v>
      </c>
    </row>
    <row r="165" spans="1:17" x14ac:dyDescent="0.55000000000000004">
      <c r="A165" t="s">
        <v>326</v>
      </c>
      <c r="B165" t="s">
        <v>327</v>
      </c>
      <c r="C165" t="s">
        <v>79</v>
      </c>
      <c r="D165" t="s">
        <v>87</v>
      </c>
      <c r="E165" s="1">
        <v>45532</v>
      </c>
      <c r="F165" s="1">
        <v>45897</v>
      </c>
      <c r="G165" t="s">
        <v>95</v>
      </c>
      <c r="H165" t="s">
        <v>28</v>
      </c>
      <c r="I165" t="s">
        <v>29</v>
      </c>
      <c r="J165" t="s">
        <v>329</v>
      </c>
      <c r="K165" t="s">
        <v>42</v>
      </c>
      <c r="L165" t="s">
        <v>179</v>
      </c>
      <c r="M165">
        <v>29</v>
      </c>
      <c r="N165">
        <v>0.17</v>
      </c>
      <c r="O165">
        <v>4294</v>
      </c>
      <c r="P165">
        <v>0</v>
      </c>
      <c r="Q165">
        <v>0</v>
      </c>
    </row>
    <row r="166" spans="1:17" x14ac:dyDescent="0.55000000000000004">
      <c r="A166" t="s">
        <v>326</v>
      </c>
      <c r="B166" t="s">
        <v>327</v>
      </c>
      <c r="C166" t="s">
        <v>79</v>
      </c>
      <c r="D166" t="s">
        <v>67</v>
      </c>
      <c r="E166" s="1">
        <v>45532</v>
      </c>
      <c r="F166" s="1">
        <v>45905</v>
      </c>
      <c r="G166" t="s">
        <v>95</v>
      </c>
      <c r="H166" t="s">
        <v>28</v>
      </c>
      <c r="I166" t="s">
        <v>33</v>
      </c>
      <c r="J166" t="s">
        <v>330</v>
      </c>
      <c r="K166" t="s">
        <v>25</v>
      </c>
      <c r="L166" t="s">
        <v>48</v>
      </c>
      <c r="M166">
        <v>27</v>
      </c>
      <c r="N166">
        <v>0.09</v>
      </c>
      <c r="O166">
        <v>8340</v>
      </c>
      <c r="P166">
        <v>0</v>
      </c>
      <c r="Q166">
        <v>0</v>
      </c>
    </row>
    <row r="167" spans="1:17" x14ac:dyDescent="0.55000000000000004">
      <c r="A167" t="s">
        <v>331</v>
      </c>
      <c r="B167" t="s">
        <v>332</v>
      </c>
      <c r="C167" t="s">
        <v>19</v>
      </c>
      <c r="D167" t="s">
        <v>39</v>
      </c>
      <c r="E167" s="1">
        <v>45519</v>
      </c>
      <c r="F167" s="1">
        <v>45560</v>
      </c>
      <c r="G167" t="s">
        <v>35</v>
      </c>
      <c r="H167" t="s">
        <v>28</v>
      </c>
      <c r="I167" t="s">
        <v>23</v>
      </c>
      <c r="J167" t="s">
        <v>333</v>
      </c>
      <c r="K167" t="s">
        <v>35</v>
      </c>
      <c r="L167" t="s">
        <v>107</v>
      </c>
      <c r="M167">
        <v>25</v>
      </c>
      <c r="N167">
        <v>1</v>
      </c>
      <c r="O167">
        <v>3548</v>
      </c>
      <c r="P167">
        <v>3528</v>
      </c>
      <c r="Q167">
        <v>0.99436302142051858</v>
      </c>
    </row>
    <row r="168" spans="1:17" x14ac:dyDescent="0.55000000000000004">
      <c r="A168" t="s">
        <v>331</v>
      </c>
      <c r="B168" t="s">
        <v>332</v>
      </c>
      <c r="C168" t="s">
        <v>19</v>
      </c>
      <c r="D168" t="s">
        <v>45</v>
      </c>
      <c r="E168" s="1">
        <v>45519</v>
      </c>
      <c r="F168" s="1">
        <v>45598</v>
      </c>
      <c r="G168" t="s">
        <v>35</v>
      </c>
      <c r="H168" t="s">
        <v>46</v>
      </c>
      <c r="I168" t="s">
        <v>29</v>
      </c>
      <c r="J168" t="s">
        <v>334</v>
      </c>
      <c r="K168" t="s">
        <v>25</v>
      </c>
      <c r="L168" t="s">
        <v>107</v>
      </c>
      <c r="M168">
        <v>23</v>
      </c>
      <c r="N168">
        <v>0.08</v>
      </c>
      <c r="O168">
        <v>9545</v>
      </c>
      <c r="P168">
        <v>0</v>
      </c>
      <c r="Q168">
        <v>0</v>
      </c>
    </row>
    <row r="169" spans="1:17" x14ac:dyDescent="0.55000000000000004">
      <c r="A169" t="s">
        <v>331</v>
      </c>
      <c r="B169" t="s">
        <v>332</v>
      </c>
      <c r="C169" t="s">
        <v>19</v>
      </c>
      <c r="D169" t="s">
        <v>82</v>
      </c>
      <c r="E169" s="1">
        <v>45519</v>
      </c>
      <c r="F169" s="1">
        <v>45600</v>
      </c>
      <c r="G169" t="s">
        <v>35</v>
      </c>
      <c r="H169" t="s">
        <v>28</v>
      </c>
      <c r="I169" t="s">
        <v>33</v>
      </c>
      <c r="J169" t="s">
        <v>335</v>
      </c>
      <c r="K169" t="s">
        <v>25</v>
      </c>
      <c r="L169" t="s">
        <v>48</v>
      </c>
      <c r="M169">
        <v>40</v>
      </c>
      <c r="N169">
        <v>0.19</v>
      </c>
      <c r="O169">
        <v>1449</v>
      </c>
      <c r="P169">
        <v>0</v>
      </c>
      <c r="Q169">
        <v>0</v>
      </c>
    </row>
    <row r="170" spans="1:17" x14ac:dyDescent="0.55000000000000004">
      <c r="A170" t="s">
        <v>336</v>
      </c>
      <c r="B170" t="s">
        <v>337</v>
      </c>
      <c r="C170" t="s">
        <v>51</v>
      </c>
      <c r="D170" t="s">
        <v>74</v>
      </c>
      <c r="E170" s="1">
        <v>45374</v>
      </c>
      <c r="F170" s="1">
        <v>45823</v>
      </c>
      <c r="G170" t="s">
        <v>40</v>
      </c>
      <c r="H170" t="s">
        <v>22</v>
      </c>
      <c r="I170" t="s">
        <v>23</v>
      </c>
      <c r="J170" t="s">
        <v>338</v>
      </c>
      <c r="K170" t="s">
        <v>25</v>
      </c>
      <c r="L170" t="s">
        <v>56</v>
      </c>
      <c r="M170">
        <v>20</v>
      </c>
      <c r="N170">
        <v>0.15</v>
      </c>
      <c r="O170">
        <v>9728</v>
      </c>
      <c r="P170">
        <v>0</v>
      </c>
      <c r="Q170">
        <v>0</v>
      </c>
    </row>
    <row r="171" spans="1:17" x14ac:dyDescent="0.55000000000000004">
      <c r="A171" t="s">
        <v>336</v>
      </c>
      <c r="B171" t="s">
        <v>337</v>
      </c>
      <c r="C171" t="s">
        <v>51</v>
      </c>
      <c r="D171" t="s">
        <v>43</v>
      </c>
      <c r="E171" s="1">
        <v>45374</v>
      </c>
      <c r="F171" s="1">
        <v>45407</v>
      </c>
      <c r="G171" t="s">
        <v>40</v>
      </c>
      <c r="H171" t="s">
        <v>28</v>
      </c>
      <c r="I171" t="s">
        <v>29</v>
      </c>
      <c r="J171" t="s">
        <v>339</v>
      </c>
      <c r="K171" t="s">
        <v>35</v>
      </c>
      <c r="L171" t="s">
        <v>26</v>
      </c>
      <c r="M171">
        <v>6</v>
      </c>
      <c r="N171">
        <v>1</v>
      </c>
      <c r="O171">
        <v>6762</v>
      </c>
      <c r="P171">
        <v>6621</v>
      </c>
      <c r="Q171">
        <v>0.979148181011535</v>
      </c>
    </row>
    <row r="172" spans="1:17" x14ac:dyDescent="0.55000000000000004">
      <c r="A172" t="s">
        <v>336</v>
      </c>
      <c r="B172" t="s">
        <v>337</v>
      </c>
      <c r="C172" t="s">
        <v>51</v>
      </c>
      <c r="D172" t="s">
        <v>45</v>
      </c>
      <c r="E172" s="1">
        <v>45374</v>
      </c>
      <c r="F172" s="1">
        <v>45655</v>
      </c>
      <c r="G172" t="s">
        <v>40</v>
      </c>
      <c r="H172" t="s">
        <v>46</v>
      </c>
      <c r="I172" t="s">
        <v>33</v>
      </c>
      <c r="J172" t="s">
        <v>340</v>
      </c>
      <c r="K172" t="s">
        <v>25</v>
      </c>
      <c r="L172" t="s">
        <v>48</v>
      </c>
      <c r="M172">
        <v>28</v>
      </c>
      <c r="N172">
        <v>0.66</v>
      </c>
      <c r="O172">
        <v>4093</v>
      </c>
      <c r="P172">
        <v>0</v>
      </c>
      <c r="Q172">
        <v>0</v>
      </c>
    </row>
    <row r="173" spans="1:17" x14ac:dyDescent="0.55000000000000004">
      <c r="A173" t="s">
        <v>341</v>
      </c>
      <c r="B173" t="s">
        <v>342</v>
      </c>
      <c r="C173" t="s">
        <v>79</v>
      </c>
      <c r="D173" t="s">
        <v>27</v>
      </c>
      <c r="E173" s="1">
        <v>45497</v>
      </c>
      <c r="F173" s="1">
        <v>45530</v>
      </c>
      <c r="G173" t="s">
        <v>95</v>
      </c>
      <c r="H173" t="s">
        <v>28</v>
      </c>
      <c r="I173" t="s">
        <v>23</v>
      </c>
      <c r="J173" t="s">
        <v>343</v>
      </c>
      <c r="K173" t="s">
        <v>35</v>
      </c>
      <c r="L173" t="s">
        <v>48</v>
      </c>
      <c r="M173">
        <v>20</v>
      </c>
      <c r="N173">
        <v>1</v>
      </c>
      <c r="O173">
        <v>9027</v>
      </c>
      <c r="P173">
        <v>8655</v>
      </c>
      <c r="Q173">
        <v>0.95879029577932873</v>
      </c>
    </row>
    <row r="174" spans="1:17" x14ac:dyDescent="0.55000000000000004">
      <c r="A174" t="s">
        <v>341</v>
      </c>
      <c r="B174" t="s">
        <v>342</v>
      </c>
      <c r="C174" t="s">
        <v>79</v>
      </c>
      <c r="D174" t="s">
        <v>91</v>
      </c>
      <c r="E174" s="1">
        <v>45497</v>
      </c>
      <c r="F174" s="1">
        <v>45904</v>
      </c>
      <c r="G174" t="s">
        <v>95</v>
      </c>
      <c r="H174" t="s">
        <v>46</v>
      </c>
      <c r="I174" t="s">
        <v>29</v>
      </c>
      <c r="J174" t="s">
        <v>344</v>
      </c>
      <c r="K174" t="s">
        <v>42</v>
      </c>
      <c r="L174" t="s">
        <v>26</v>
      </c>
      <c r="M174">
        <v>10</v>
      </c>
      <c r="N174">
        <v>0.99</v>
      </c>
      <c r="O174">
        <v>4949</v>
      </c>
      <c r="P174">
        <v>0</v>
      </c>
      <c r="Q174">
        <v>0</v>
      </c>
    </row>
    <row r="175" spans="1:17" x14ac:dyDescent="0.55000000000000004">
      <c r="A175" t="s">
        <v>341</v>
      </c>
      <c r="B175" t="s">
        <v>342</v>
      </c>
      <c r="C175" t="s">
        <v>79</v>
      </c>
      <c r="D175" t="s">
        <v>91</v>
      </c>
      <c r="E175" s="1">
        <v>45497</v>
      </c>
      <c r="F175" s="1">
        <v>45844</v>
      </c>
      <c r="G175" t="s">
        <v>95</v>
      </c>
      <c r="H175" t="s">
        <v>46</v>
      </c>
      <c r="I175" t="s">
        <v>33</v>
      </c>
      <c r="J175" t="s">
        <v>345</v>
      </c>
      <c r="K175" t="s">
        <v>42</v>
      </c>
      <c r="L175" t="s">
        <v>179</v>
      </c>
      <c r="M175">
        <v>3</v>
      </c>
      <c r="N175">
        <v>0.93</v>
      </c>
      <c r="O175">
        <v>1671</v>
      </c>
      <c r="P175">
        <v>0</v>
      </c>
      <c r="Q175">
        <v>0</v>
      </c>
    </row>
    <row r="176" spans="1:17" x14ac:dyDescent="0.55000000000000004">
      <c r="A176" t="s">
        <v>346</v>
      </c>
      <c r="B176" t="s">
        <v>347</v>
      </c>
      <c r="C176" t="s">
        <v>19</v>
      </c>
      <c r="D176" t="s">
        <v>74</v>
      </c>
      <c r="E176" s="1">
        <v>45330</v>
      </c>
      <c r="F176" s="1">
        <v>45535</v>
      </c>
      <c r="G176" t="s">
        <v>95</v>
      </c>
      <c r="H176" t="s">
        <v>28</v>
      </c>
      <c r="I176" t="s">
        <v>23</v>
      </c>
      <c r="J176" t="s">
        <v>348</v>
      </c>
      <c r="K176" t="s">
        <v>42</v>
      </c>
      <c r="L176" t="s">
        <v>53</v>
      </c>
      <c r="M176">
        <v>2</v>
      </c>
      <c r="N176">
        <v>0.47</v>
      </c>
      <c r="O176">
        <v>1634</v>
      </c>
      <c r="P176">
        <v>0</v>
      </c>
      <c r="Q176">
        <v>0</v>
      </c>
    </row>
    <row r="177" spans="1:17" x14ac:dyDescent="0.55000000000000004">
      <c r="A177" t="s">
        <v>346</v>
      </c>
      <c r="B177" t="s">
        <v>347</v>
      </c>
      <c r="C177" t="s">
        <v>19</v>
      </c>
      <c r="D177" t="s">
        <v>39</v>
      </c>
      <c r="E177" s="1">
        <v>45330</v>
      </c>
      <c r="F177" s="1">
        <v>45497</v>
      </c>
      <c r="G177" t="s">
        <v>95</v>
      </c>
      <c r="H177" t="s">
        <v>28</v>
      </c>
      <c r="I177" t="s">
        <v>29</v>
      </c>
      <c r="J177" t="s">
        <v>349</v>
      </c>
      <c r="K177" t="s">
        <v>35</v>
      </c>
      <c r="L177" t="s">
        <v>48</v>
      </c>
      <c r="M177">
        <v>34</v>
      </c>
      <c r="N177">
        <v>1</v>
      </c>
      <c r="O177">
        <v>9178</v>
      </c>
      <c r="P177">
        <v>8962</v>
      </c>
      <c r="Q177">
        <v>0.9764654608847243</v>
      </c>
    </row>
    <row r="178" spans="1:17" x14ac:dyDescent="0.55000000000000004">
      <c r="A178" t="s">
        <v>346</v>
      </c>
      <c r="B178" t="s">
        <v>347</v>
      </c>
      <c r="C178" t="s">
        <v>19</v>
      </c>
      <c r="D178" t="s">
        <v>32</v>
      </c>
      <c r="E178" s="1">
        <v>45330</v>
      </c>
      <c r="F178" s="1">
        <v>45486</v>
      </c>
      <c r="G178" t="s">
        <v>95</v>
      </c>
      <c r="H178" t="s">
        <v>28</v>
      </c>
      <c r="I178" t="s">
        <v>33</v>
      </c>
      <c r="J178" t="s">
        <v>350</v>
      </c>
      <c r="K178" t="s">
        <v>35</v>
      </c>
      <c r="L178" t="s">
        <v>31</v>
      </c>
      <c r="M178">
        <v>33</v>
      </c>
      <c r="N178">
        <v>1</v>
      </c>
      <c r="O178">
        <v>5369</v>
      </c>
      <c r="P178">
        <v>4897</v>
      </c>
      <c r="Q178">
        <v>0.91208791208791207</v>
      </c>
    </row>
    <row r="179" spans="1:17" x14ac:dyDescent="0.55000000000000004">
      <c r="A179" t="s">
        <v>351</v>
      </c>
      <c r="B179" t="s">
        <v>352</v>
      </c>
      <c r="C179" t="s">
        <v>79</v>
      </c>
      <c r="D179" t="s">
        <v>91</v>
      </c>
      <c r="E179" s="1">
        <v>45477</v>
      </c>
      <c r="F179" s="1">
        <v>45612</v>
      </c>
      <c r="G179" t="s">
        <v>95</v>
      </c>
      <c r="H179" t="s">
        <v>22</v>
      </c>
      <c r="I179" t="s">
        <v>23</v>
      </c>
      <c r="J179" t="s">
        <v>353</v>
      </c>
      <c r="K179" t="s">
        <v>42</v>
      </c>
      <c r="L179" t="s">
        <v>81</v>
      </c>
      <c r="M179">
        <v>8</v>
      </c>
      <c r="N179">
        <v>0.44</v>
      </c>
      <c r="O179">
        <v>4383</v>
      </c>
      <c r="P179">
        <v>0</v>
      </c>
      <c r="Q179">
        <v>0</v>
      </c>
    </row>
    <row r="180" spans="1:17" x14ac:dyDescent="0.55000000000000004">
      <c r="A180" t="s">
        <v>351</v>
      </c>
      <c r="B180" t="s">
        <v>352</v>
      </c>
      <c r="C180" t="s">
        <v>79</v>
      </c>
      <c r="D180" t="s">
        <v>20</v>
      </c>
      <c r="E180" s="1">
        <v>45477</v>
      </c>
      <c r="F180" s="1">
        <v>45560</v>
      </c>
      <c r="G180" t="s">
        <v>95</v>
      </c>
      <c r="H180" t="s">
        <v>28</v>
      </c>
      <c r="I180" t="s">
        <v>29</v>
      </c>
      <c r="J180" t="s">
        <v>354</v>
      </c>
      <c r="K180" t="s">
        <v>35</v>
      </c>
      <c r="L180" t="s">
        <v>48</v>
      </c>
      <c r="M180">
        <v>5</v>
      </c>
      <c r="N180">
        <v>1</v>
      </c>
      <c r="O180">
        <v>9106</v>
      </c>
      <c r="P180">
        <v>8788</v>
      </c>
      <c r="Q180">
        <v>0.96507797056885569</v>
      </c>
    </row>
    <row r="181" spans="1:17" x14ac:dyDescent="0.55000000000000004">
      <c r="A181" t="s">
        <v>351</v>
      </c>
      <c r="B181" t="s">
        <v>352</v>
      </c>
      <c r="C181" t="s">
        <v>79</v>
      </c>
      <c r="D181" t="s">
        <v>89</v>
      </c>
      <c r="E181" s="1">
        <v>45477</v>
      </c>
      <c r="F181" s="1">
        <v>45591</v>
      </c>
      <c r="G181" t="s">
        <v>95</v>
      </c>
      <c r="H181" t="s">
        <v>28</v>
      </c>
      <c r="I181" t="s">
        <v>33</v>
      </c>
      <c r="J181" t="s">
        <v>355</v>
      </c>
      <c r="K181" t="s">
        <v>25</v>
      </c>
      <c r="L181" t="s">
        <v>26</v>
      </c>
      <c r="M181">
        <v>34</v>
      </c>
      <c r="N181">
        <v>0.37</v>
      </c>
      <c r="O181">
        <v>7376</v>
      </c>
      <c r="P181">
        <v>0</v>
      </c>
      <c r="Q181">
        <v>0</v>
      </c>
    </row>
    <row r="182" spans="1:17" x14ac:dyDescent="0.55000000000000004">
      <c r="A182" t="s">
        <v>356</v>
      </c>
      <c r="B182" t="s">
        <v>357</v>
      </c>
      <c r="C182" t="s">
        <v>19</v>
      </c>
      <c r="D182" t="s">
        <v>91</v>
      </c>
      <c r="E182" s="1">
        <v>45457</v>
      </c>
      <c r="F182" s="1">
        <v>45782</v>
      </c>
      <c r="G182" t="s">
        <v>95</v>
      </c>
      <c r="H182" t="s">
        <v>46</v>
      </c>
      <c r="I182" t="s">
        <v>23</v>
      </c>
      <c r="J182" t="s">
        <v>358</v>
      </c>
      <c r="K182" t="s">
        <v>42</v>
      </c>
      <c r="L182" t="s">
        <v>26</v>
      </c>
      <c r="M182">
        <v>31</v>
      </c>
      <c r="N182">
        <v>0.84</v>
      </c>
      <c r="O182">
        <v>4564</v>
      </c>
      <c r="P182">
        <v>0</v>
      </c>
      <c r="Q182">
        <v>0</v>
      </c>
    </row>
    <row r="183" spans="1:17" x14ac:dyDescent="0.55000000000000004">
      <c r="A183" t="s">
        <v>356</v>
      </c>
      <c r="B183" t="s">
        <v>357</v>
      </c>
      <c r="C183" t="s">
        <v>19</v>
      </c>
      <c r="D183" t="s">
        <v>27</v>
      </c>
      <c r="E183" s="1">
        <v>45457</v>
      </c>
      <c r="F183" s="1">
        <v>45798</v>
      </c>
      <c r="G183" t="s">
        <v>95</v>
      </c>
      <c r="H183" t="s">
        <v>22</v>
      </c>
      <c r="I183" t="s">
        <v>29</v>
      </c>
      <c r="J183" t="s">
        <v>359</v>
      </c>
      <c r="K183" t="s">
        <v>25</v>
      </c>
      <c r="L183" t="s">
        <v>107</v>
      </c>
      <c r="M183">
        <v>34</v>
      </c>
      <c r="N183">
        <v>0.25</v>
      </c>
      <c r="O183">
        <v>6685</v>
      </c>
      <c r="P183">
        <v>0</v>
      </c>
      <c r="Q183">
        <v>0</v>
      </c>
    </row>
    <row r="184" spans="1:17" x14ac:dyDescent="0.55000000000000004">
      <c r="A184" t="s">
        <v>356</v>
      </c>
      <c r="B184" t="s">
        <v>357</v>
      </c>
      <c r="C184" t="s">
        <v>19</v>
      </c>
      <c r="D184" t="s">
        <v>27</v>
      </c>
      <c r="E184" s="1">
        <v>45457</v>
      </c>
      <c r="F184" s="1">
        <v>45907</v>
      </c>
      <c r="G184" t="s">
        <v>95</v>
      </c>
      <c r="H184" t="s">
        <v>22</v>
      </c>
      <c r="I184" t="s">
        <v>33</v>
      </c>
      <c r="J184" t="s">
        <v>360</v>
      </c>
      <c r="K184" t="s">
        <v>25</v>
      </c>
      <c r="L184" t="s">
        <v>107</v>
      </c>
      <c r="M184">
        <v>36</v>
      </c>
      <c r="N184">
        <v>0</v>
      </c>
      <c r="O184">
        <v>3548</v>
      </c>
      <c r="P184">
        <v>0</v>
      </c>
      <c r="Q184">
        <v>0</v>
      </c>
    </row>
    <row r="185" spans="1:17" x14ac:dyDescent="0.55000000000000004">
      <c r="A185" t="s">
        <v>361</v>
      </c>
      <c r="B185" t="s">
        <v>362</v>
      </c>
      <c r="C185" t="s">
        <v>38</v>
      </c>
      <c r="D185" t="s">
        <v>89</v>
      </c>
      <c r="E185" s="1">
        <v>45500</v>
      </c>
      <c r="F185" s="1">
        <v>45740</v>
      </c>
      <c r="G185" t="s">
        <v>95</v>
      </c>
      <c r="H185" t="s">
        <v>28</v>
      </c>
      <c r="I185" t="s">
        <v>23</v>
      </c>
      <c r="J185" t="s">
        <v>363</v>
      </c>
      <c r="K185" t="s">
        <v>42</v>
      </c>
      <c r="L185" t="s">
        <v>107</v>
      </c>
      <c r="M185">
        <v>11</v>
      </c>
      <c r="N185">
        <v>0.11</v>
      </c>
      <c r="O185">
        <v>5997</v>
      </c>
      <c r="P185">
        <v>0</v>
      </c>
      <c r="Q185">
        <v>0</v>
      </c>
    </row>
    <row r="186" spans="1:17" x14ac:dyDescent="0.55000000000000004">
      <c r="A186" t="s">
        <v>361</v>
      </c>
      <c r="B186" t="s">
        <v>362</v>
      </c>
      <c r="C186" t="s">
        <v>38</v>
      </c>
      <c r="D186" t="s">
        <v>43</v>
      </c>
      <c r="E186" s="1">
        <v>45500</v>
      </c>
      <c r="F186" s="1">
        <v>45560</v>
      </c>
      <c r="G186" t="s">
        <v>95</v>
      </c>
      <c r="H186" t="s">
        <v>28</v>
      </c>
      <c r="I186" t="s">
        <v>29</v>
      </c>
      <c r="J186" t="s">
        <v>364</v>
      </c>
      <c r="K186" t="s">
        <v>35</v>
      </c>
      <c r="L186" t="s">
        <v>31</v>
      </c>
      <c r="M186">
        <v>16</v>
      </c>
      <c r="N186">
        <v>1</v>
      </c>
      <c r="O186">
        <v>3180</v>
      </c>
      <c r="P186">
        <v>3081</v>
      </c>
      <c r="Q186">
        <v>0.96886792452830184</v>
      </c>
    </row>
    <row r="187" spans="1:17" x14ac:dyDescent="0.55000000000000004">
      <c r="A187" t="s">
        <v>361</v>
      </c>
      <c r="B187" t="s">
        <v>362</v>
      </c>
      <c r="C187" t="s">
        <v>38</v>
      </c>
      <c r="D187" t="s">
        <v>43</v>
      </c>
      <c r="E187" s="1">
        <v>45500</v>
      </c>
      <c r="F187" s="1">
        <v>45710</v>
      </c>
      <c r="G187" t="s">
        <v>95</v>
      </c>
      <c r="H187" t="s">
        <v>28</v>
      </c>
      <c r="I187" t="s">
        <v>33</v>
      </c>
      <c r="J187" t="s">
        <v>365</v>
      </c>
      <c r="K187" t="s">
        <v>42</v>
      </c>
      <c r="L187" t="s">
        <v>179</v>
      </c>
      <c r="M187">
        <v>38</v>
      </c>
      <c r="N187">
        <v>0.15</v>
      </c>
      <c r="O187">
        <v>2178</v>
      </c>
      <c r="P187">
        <v>0</v>
      </c>
      <c r="Q187">
        <v>0</v>
      </c>
    </row>
    <row r="188" spans="1:17" x14ac:dyDescent="0.55000000000000004">
      <c r="A188" t="s">
        <v>366</v>
      </c>
      <c r="B188" t="s">
        <v>367</v>
      </c>
      <c r="C188" t="s">
        <v>51</v>
      </c>
      <c r="D188" t="s">
        <v>39</v>
      </c>
      <c r="E188" s="1">
        <v>45489</v>
      </c>
      <c r="F188" s="1">
        <v>45664</v>
      </c>
      <c r="G188" t="s">
        <v>40</v>
      </c>
      <c r="H188" t="s">
        <v>28</v>
      </c>
      <c r="I188" t="s">
        <v>23</v>
      </c>
      <c r="J188" t="s">
        <v>368</v>
      </c>
      <c r="K188" t="s">
        <v>25</v>
      </c>
      <c r="L188" t="s">
        <v>179</v>
      </c>
      <c r="M188">
        <v>5</v>
      </c>
      <c r="N188">
        <v>0.55000000000000004</v>
      </c>
      <c r="O188">
        <v>2944</v>
      </c>
      <c r="P188">
        <v>0</v>
      </c>
      <c r="Q188">
        <v>0</v>
      </c>
    </row>
    <row r="189" spans="1:17" x14ac:dyDescent="0.55000000000000004">
      <c r="A189" t="s">
        <v>366</v>
      </c>
      <c r="B189" t="s">
        <v>367</v>
      </c>
      <c r="C189" t="s">
        <v>51</v>
      </c>
      <c r="D189" t="s">
        <v>45</v>
      </c>
      <c r="E189" s="1">
        <v>45489</v>
      </c>
      <c r="F189" s="1">
        <v>45522</v>
      </c>
      <c r="G189" t="s">
        <v>40</v>
      </c>
      <c r="H189" t="s">
        <v>28</v>
      </c>
      <c r="I189" t="s">
        <v>29</v>
      </c>
      <c r="J189" t="s">
        <v>369</v>
      </c>
      <c r="K189" t="s">
        <v>35</v>
      </c>
      <c r="L189" t="s">
        <v>53</v>
      </c>
      <c r="M189">
        <v>31</v>
      </c>
      <c r="N189">
        <v>1</v>
      </c>
      <c r="O189">
        <v>7376</v>
      </c>
      <c r="P189">
        <v>6945</v>
      </c>
      <c r="Q189">
        <v>0.9415672451193059</v>
      </c>
    </row>
    <row r="190" spans="1:17" x14ac:dyDescent="0.55000000000000004">
      <c r="A190" t="s">
        <v>366</v>
      </c>
      <c r="B190" t="s">
        <v>367</v>
      </c>
      <c r="C190" t="s">
        <v>51</v>
      </c>
      <c r="D190" t="s">
        <v>82</v>
      </c>
      <c r="E190" s="1">
        <v>45489</v>
      </c>
      <c r="F190" s="1">
        <v>45758</v>
      </c>
      <c r="G190" t="s">
        <v>40</v>
      </c>
      <c r="H190" t="s">
        <v>46</v>
      </c>
      <c r="I190" t="s">
        <v>33</v>
      </c>
      <c r="J190" t="s">
        <v>370</v>
      </c>
      <c r="K190" t="s">
        <v>25</v>
      </c>
      <c r="L190" t="s">
        <v>179</v>
      </c>
      <c r="M190">
        <v>2</v>
      </c>
      <c r="N190">
        <v>0.68</v>
      </c>
      <c r="O190">
        <v>6433</v>
      </c>
      <c r="P190">
        <v>0</v>
      </c>
      <c r="Q190">
        <v>0</v>
      </c>
    </row>
    <row r="191" spans="1:17" x14ac:dyDescent="0.55000000000000004">
      <c r="A191" t="s">
        <v>371</v>
      </c>
      <c r="B191" t="s">
        <v>372</v>
      </c>
      <c r="C191" t="s">
        <v>60</v>
      </c>
      <c r="D191" t="s">
        <v>20</v>
      </c>
      <c r="E191" s="1">
        <v>45465</v>
      </c>
      <c r="F191" s="1">
        <v>45560</v>
      </c>
      <c r="G191" t="s">
        <v>21</v>
      </c>
      <c r="H191" t="s">
        <v>46</v>
      </c>
      <c r="I191" t="s">
        <v>23</v>
      </c>
      <c r="J191" t="s">
        <v>373</v>
      </c>
      <c r="K191" t="s">
        <v>35</v>
      </c>
      <c r="L191" t="s">
        <v>53</v>
      </c>
      <c r="M191">
        <v>30</v>
      </c>
      <c r="N191">
        <v>1</v>
      </c>
      <c r="O191">
        <v>5551</v>
      </c>
      <c r="P191">
        <v>5315</v>
      </c>
      <c r="Q191">
        <v>0.9574851378130067</v>
      </c>
    </row>
    <row r="192" spans="1:17" x14ac:dyDescent="0.55000000000000004">
      <c r="A192" t="s">
        <v>371</v>
      </c>
      <c r="B192" t="s">
        <v>372</v>
      </c>
      <c r="C192" t="s">
        <v>60</v>
      </c>
      <c r="D192" t="s">
        <v>87</v>
      </c>
      <c r="E192" s="1">
        <v>45465</v>
      </c>
      <c r="F192" s="1">
        <v>45498</v>
      </c>
      <c r="G192" t="s">
        <v>21</v>
      </c>
      <c r="H192" t="s">
        <v>22</v>
      </c>
      <c r="I192" t="s">
        <v>29</v>
      </c>
      <c r="J192" t="s">
        <v>374</v>
      </c>
      <c r="K192" t="s">
        <v>35</v>
      </c>
      <c r="L192" t="s">
        <v>81</v>
      </c>
      <c r="M192">
        <v>6</v>
      </c>
      <c r="N192">
        <v>1</v>
      </c>
      <c r="O192">
        <v>9127</v>
      </c>
      <c r="P192">
        <v>8751</v>
      </c>
      <c r="Q192">
        <v>0.95880354990686978</v>
      </c>
    </row>
    <row r="193" spans="1:17" x14ac:dyDescent="0.55000000000000004">
      <c r="A193" t="s">
        <v>371</v>
      </c>
      <c r="B193" t="s">
        <v>372</v>
      </c>
      <c r="C193" t="s">
        <v>60</v>
      </c>
      <c r="D193" t="s">
        <v>54</v>
      </c>
      <c r="E193" s="1">
        <v>45465</v>
      </c>
      <c r="F193" s="1">
        <v>45560</v>
      </c>
      <c r="G193" t="s">
        <v>21</v>
      </c>
      <c r="H193" t="s">
        <v>28</v>
      </c>
      <c r="I193" t="s">
        <v>33</v>
      </c>
      <c r="J193" t="s">
        <v>375</v>
      </c>
      <c r="K193" t="s">
        <v>35</v>
      </c>
      <c r="L193" t="s">
        <v>31</v>
      </c>
      <c r="M193">
        <v>40</v>
      </c>
      <c r="N193">
        <v>1</v>
      </c>
      <c r="O193">
        <v>9168</v>
      </c>
      <c r="P193">
        <v>9025</v>
      </c>
      <c r="Q193">
        <v>0.98440226876090753</v>
      </c>
    </row>
    <row r="194" spans="1:17" x14ac:dyDescent="0.55000000000000004">
      <c r="A194" t="s">
        <v>376</v>
      </c>
      <c r="B194" t="s">
        <v>377</v>
      </c>
      <c r="C194" t="s">
        <v>66</v>
      </c>
      <c r="D194" t="s">
        <v>43</v>
      </c>
      <c r="E194" s="1">
        <v>45297</v>
      </c>
      <c r="F194" s="1">
        <v>45330</v>
      </c>
      <c r="G194" t="s">
        <v>40</v>
      </c>
      <c r="H194" t="s">
        <v>28</v>
      </c>
      <c r="I194" t="s">
        <v>23</v>
      </c>
      <c r="J194" t="s">
        <v>378</v>
      </c>
      <c r="K194" t="s">
        <v>35</v>
      </c>
      <c r="L194" t="s">
        <v>107</v>
      </c>
      <c r="M194">
        <v>18</v>
      </c>
      <c r="N194">
        <v>1</v>
      </c>
      <c r="O194">
        <v>2284</v>
      </c>
      <c r="P194">
        <v>2142</v>
      </c>
      <c r="Q194">
        <v>0.93782837127845886</v>
      </c>
    </row>
    <row r="195" spans="1:17" x14ac:dyDescent="0.55000000000000004">
      <c r="A195" t="s">
        <v>376</v>
      </c>
      <c r="B195" t="s">
        <v>377</v>
      </c>
      <c r="C195" t="s">
        <v>66</v>
      </c>
      <c r="D195" t="s">
        <v>82</v>
      </c>
      <c r="E195" s="1">
        <v>45297</v>
      </c>
      <c r="F195" s="1">
        <v>45590</v>
      </c>
      <c r="G195" t="s">
        <v>40</v>
      </c>
      <c r="H195" t="s">
        <v>22</v>
      </c>
      <c r="I195" t="s">
        <v>29</v>
      </c>
      <c r="J195" t="s">
        <v>379</v>
      </c>
      <c r="K195" t="s">
        <v>25</v>
      </c>
      <c r="L195" t="s">
        <v>53</v>
      </c>
      <c r="M195">
        <v>26</v>
      </c>
      <c r="N195">
        <v>0.41</v>
      </c>
      <c r="O195">
        <v>4973</v>
      </c>
      <c r="P195">
        <v>0</v>
      </c>
      <c r="Q195">
        <v>0</v>
      </c>
    </row>
    <row r="196" spans="1:17" x14ac:dyDescent="0.55000000000000004">
      <c r="A196" t="s">
        <v>376</v>
      </c>
      <c r="B196" t="s">
        <v>377</v>
      </c>
      <c r="C196" t="s">
        <v>66</v>
      </c>
      <c r="D196" t="s">
        <v>74</v>
      </c>
      <c r="E196" s="1">
        <v>45297</v>
      </c>
      <c r="F196" s="1">
        <v>45565</v>
      </c>
      <c r="G196" t="s">
        <v>40</v>
      </c>
      <c r="H196" t="s">
        <v>28</v>
      </c>
      <c r="I196" t="s">
        <v>33</v>
      </c>
      <c r="J196" t="s">
        <v>380</v>
      </c>
      <c r="K196" t="s">
        <v>42</v>
      </c>
      <c r="L196" t="s">
        <v>48</v>
      </c>
      <c r="M196">
        <v>26</v>
      </c>
      <c r="N196">
        <v>0.6</v>
      </c>
      <c r="O196">
        <v>7992</v>
      </c>
      <c r="P196">
        <v>0</v>
      </c>
      <c r="Q196">
        <v>0</v>
      </c>
    </row>
    <row r="197" spans="1:17" x14ac:dyDescent="0.55000000000000004">
      <c r="A197" t="s">
        <v>381</v>
      </c>
      <c r="B197" t="s">
        <v>382</v>
      </c>
      <c r="C197" t="s">
        <v>19</v>
      </c>
      <c r="D197" t="s">
        <v>91</v>
      </c>
      <c r="E197" s="1">
        <v>45416</v>
      </c>
      <c r="F197" s="1">
        <v>45619</v>
      </c>
      <c r="G197" t="s">
        <v>35</v>
      </c>
      <c r="H197" t="s">
        <v>28</v>
      </c>
      <c r="I197" t="s">
        <v>23</v>
      </c>
      <c r="J197" t="s">
        <v>383</v>
      </c>
      <c r="K197" t="s">
        <v>25</v>
      </c>
      <c r="L197" t="s">
        <v>48</v>
      </c>
      <c r="M197">
        <v>32</v>
      </c>
      <c r="N197">
        <v>0.53</v>
      </c>
      <c r="O197">
        <v>3669</v>
      </c>
      <c r="P197">
        <v>0</v>
      </c>
      <c r="Q197">
        <v>0</v>
      </c>
    </row>
    <row r="198" spans="1:17" x14ac:dyDescent="0.55000000000000004">
      <c r="A198" t="s">
        <v>381</v>
      </c>
      <c r="B198" t="s">
        <v>382</v>
      </c>
      <c r="C198" t="s">
        <v>19</v>
      </c>
      <c r="D198" t="s">
        <v>91</v>
      </c>
      <c r="E198" s="1">
        <v>45416</v>
      </c>
      <c r="F198" s="1">
        <v>45602</v>
      </c>
      <c r="G198" t="s">
        <v>35</v>
      </c>
      <c r="H198" t="s">
        <v>28</v>
      </c>
      <c r="I198" t="s">
        <v>29</v>
      </c>
      <c r="J198" t="s">
        <v>384</v>
      </c>
      <c r="K198" t="s">
        <v>42</v>
      </c>
      <c r="L198" t="s">
        <v>56</v>
      </c>
      <c r="M198">
        <v>20</v>
      </c>
      <c r="N198">
        <v>0.55000000000000004</v>
      </c>
      <c r="O198">
        <v>6395</v>
      </c>
      <c r="P198">
        <v>0</v>
      </c>
      <c r="Q198">
        <v>0</v>
      </c>
    </row>
    <row r="199" spans="1:17" x14ac:dyDescent="0.55000000000000004">
      <c r="A199" t="s">
        <v>381</v>
      </c>
      <c r="B199" t="s">
        <v>382</v>
      </c>
      <c r="C199" t="s">
        <v>19</v>
      </c>
      <c r="D199" t="s">
        <v>74</v>
      </c>
      <c r="E199" s="1">
        <v>45416</v>
      </c>
      <c r="F199" s="1">
        <v>45548</v>
      </c>
      <c r="G199" t="s">
        <v>35</v>
      </c>
      <c r="H199" t="s">
        <v>22</v>
      </c>
      <c r="I199" t="s">
        <v>33</v>
      </c>
      <c r="J199" t="s">
        <v>385</v>
      </c>
      <c r="K199" t="s">
        <v>42</v>
      </c>
      <c r="L199" t="s">
        <v>81</v>
      </c>
      <c r="M199">
        <v>1</v>
      </c>
      <c r="N199">
        <v>0.61</v>
      </c>
      <c r="O199">
        <v>4445</v>
      </c>
      <c r="P199">
        <v>0</v>
      </c>
      <c r="Q199">
        <v>0</v>
      </c>
    </row>
    <row r="200" spans="1:17" x14ac:dyDescent="0.55000000000000004">
      <c r="A200" t="s">
        <v>386</v>
      </c>
      <c r="B200" t="s">
        <v>387</v>
      </c>
      <c r="C200" t="s">
        <v>79</v>
      </c>
      <c r="D200" t="s">
        <v>89</v>
      </c>
      <c r="E200" s="1">
        <v>45321</v>
      </c>
      <c r="F200" s="1">
        <v>45669</v>
      </c>
      <c r="G200" t="s">
        <v>35</v>
      </c>
      <c r="H200" t="s">
        <v>46</v>
      </c>
      <c r="I200" t="s">
        <v>23</v>
      </c>
      <c r="J200" t="s">
        <v>388</v>
      </c>
      <c r="K200" t="s">
        <v>25</v>
      </c>
      <c r="L200" t="s">
        <v>81</v>
      </c>
      <c r="M200">
        <v>10</v>
      </c>
      <c r="N200">
        <v>0.04</v>
      </c>
      <c r="O200">
        <v>1599</v>
      </c>
      <c r="P200">
        <v>0</v>
      </c>
      <c r="Q200">
        <v>0</v>
      </c>
    </row>
    <row r="201" spans="1:17" x14ac:dyDescent="0.55000000000000004">
      <c r="A201" t="s">
        <v>386</v>
      </c>
      <c r="B201" t="s">
        <v>387</v>
      </c>
      <c r="C201" t="s">
        <v>79</v>
      </c>
      <c r="D201" t="s">
        <v>20</v>
      </c>
      <c r="E201" s="1">
        <v>45321</v>
      </c>
      <c r="F201" s="1">
        <v>45652</v>
      </c>
      <c r="G201" t="s">
        <v>35</v>
      </c>
      <c r="H201" t="s">
        <v>22</v>
      </c>
      <c r="I201" t="s">
        <v>29</v>
      </c>
      <c r="J201" t="s">
        <v>389</v>
      </c>
      <c r="K201" t="s">
        <v>25</v>
      </c>
      <c r="L201" t="s">
        <v>53</v>
      </c>
      <c r="M201">
        <v>4</v>
      </c>
      <c r="N201">
        <v>0.71</v>
      </c>
      <c r="O201">
        <v>9597</v>
      </c>
      <c r="P201">
        <v>0</v>
      </c>
      <c r="Q201">
        <v>0</v>
      </c>
    </row>
    <row r="202" spans="1:17" x14ac:dyDescent="0.55000000000000004">
      <c r="A202" t="s">
        <v>386</v>
      </c>
      <c r="B202" t="s">
        <v>387</v>
      </c>
      <c r="C202" t="s">
        <v>79</v>
      </c>
      <c r="D202" t="s">
        <v>43</v>
      </c>
      <c r="E202" s="1">
        <v>45321</v>
      </c>
      <c r="F202" s="1">
        <v>45354</v>
      </c>
      <c r="G202" t="s">
        <v>35</v>
      </c>
      <c r="H202" t="s">
        <v>28</v>
      </c>
      <c r="I202" t="s">
        <v>33</v>
      </c>
      <c r="J202" t="s">
        <v>390</v>
      </c>
      <c r="K202" t="s">
        <v>35</v>
      </c>
      <c r="L202" t="s">
        <v>81</v>
      </c>
      <c r="M202">
        <v>8</v>
      </c>
      <c r="N202">
        <v>1</v>
      </c>
      <c r="O202">
        <v>2143</v>
      </c>
      <c r="P202">
        <v>1984</v>
      </c>
      <c r="Q202">
        <v>0.92580494633691091</v>
      </c>
    </row>
    <row r="203" spans="1:17" x14ac:dyDescent="0.55000000000000004">
      <c r="A203" t="s">
        <v>391</v>
      </c>
      <c r="B203" t="s">
        <v>392</v>
      </c>
      <c r="C203" t="s">
        <v>51</v>
      </c>
      <c r="D203" t="s">
        <v>43</v>
      </c>
      <c r="E203" s="1">
        <v>45321</v>
      </c>
      <c r="F203" s="1">
        <v>45805</v>
      </c>
      <c r="G203" t="s">
        <v>21</v>
      </c>
      <c r="H203" t="s">
        <v>46</v>
      </c>
      <c r="I203" t="s">
        <v>23</v>
      </c>
      <c r="J203" t="s">
        <v>393</v>
      </c>
      <c r="K203" t="s">
        <v>42</v>
      </c>
      <c r="L203" t="s">
        <v>48</v>
      </c>
      <c r="M203">
        <v>28</v>
      </c>
      <c r="N203">
        <v>0.48</v>
      </c>
      <c r="O203">
        <v>6658</v>
      </c>
      <c r="P203">
        <v>0</v>
      </c>
      <c r="Q203">
        <v>0</v>
      </c>
    </row>
    <row r="204" spans="1:17" x14ac:dyDescent="0.55000000000000004">
      <c r="A204" t="s">
        <v>391</v>
      </c>
      <c r="B204" t="s">
        <v>392</v>
      </c>
      <c r="C204" t="s">
        <v>51</v>
      </c>
      <c r="D204" t="s">
        <v>87</v>
      </c>
      <c r="E204" s="1">
        <v>45321</v>
      </c>
      <c r="F204" s="1">
        <v>45701</v>
      </c>
      <c r="G204" t="s">
        <v>21</v>
      </c>
      <c r="H204" t="s">
        <v>46</v>
      </c>
      <c r="I204" t="s">
        <v>29</v>
      </c>
      <c r="J204" t="s">
        <v>394</v>
      </c>
      <c r="K204" t="s">
        <v>42</v>
      </c>
      <c r="L204" t="s">
        <v>31</v>
      </c>
      <c r="M204">
        <v>32</v>
      </c>
      <c r="N204">
        <v>0.93</v>
      </c>
      <c r="O204">
        <v>8758</v>
      </c>
      <c r="P204">
        <v>0</v>
      </c>
      <c r="Q204">
        <v>0</v>
      </c>
    </row>
    <row r="205" spans="1:17" x14ac:dyDescent="0.55000000000000004">
      <c r="A205" t="s">
        <v>391</v>
      </c>
      <c r="B205" t="s">
        <v>392</v>
      </c>
      <c r="C205" t="s">
        <v>51</v>
      </c>
      <c r="D205" t="s">
        <v>45</v>
      </c>
      <c r="E205" s="1">
        <v>45321</v>
      </c>
      <c r="F205" s="1">
        <v>45354</v>
      </c>
      <c r="G205" t="s">
        <v>21</v>
      </c>
      <c r="H205" t="s">
        <v>28</v>
      </c>
      <c r="I205" t="s">
        <v>33</v>
      </c>
      <c r="J205" t="s">
        <v>395</v>
      </c>
      <c r="K205" t="s">
        <v>35</v>
      </c>
      <c r="L205" t="s">
        <v>31</v>
      </c>
      <c r="M205">
        <v>8</v>
      </c>
      <c r="N205">
        <v>1</v>
      </c>
      <c r="O205">
        <v>9806</v>
      </c>
      <c r="P205">
        <v>9477</v>
      </c>
      <c r="Q205">
        <v>0.96644911278808887</v>
      </c>
    </row>
    <row r="206" spans="1:17" x14ac:dyDescent="0.55000000000000004">
      <c r="A206" t="s">
        <v>396</v>
      </c>
      <c r="B206" t="s">
        <v>397</v>
      </c>
      <c r="C206" t="s">
        <v>79</v>
      </c>
      <c r="D206" t="s">
        <v>89</v>
      </c>
      <c r="E206" s="1">
        <v>45347</v>
      </c>
      <c r="F206" s="1">
        <v>45717</v>
      </c>
      <c r="G206" t="s">
        <v>40</v>
      </c>
      <c r="H206" t="s">
        <v>28</v>
      </c>
      <c r="I206" t="s">
        <v>23</v>
      </c>
      <c r="J206" t="s">
        <v>398</v>
      </c>
      <c r="K206" t="s">
        <v>42</v>
      </c>
      <c r="L206" t="s">
        <v>31</v>
      </c>
      <c r="M206">
        <v>16</v>
      </c>
      <c r="N206">
        <v>0.28000000000000003</v>
      </c>
      <c r="O206">
        <v>3424</v>
      </c>
      <c r="P206">
        <v>0</v>
      </c>
      <c r="Q206">
        <v>0</v>
      </c>
    </row>
    <row r="207" spans="1:17" x14ac:dyDescent="0.55000000000000004">
      <c r="A207" t="s">
        <v>396</v>
      </c>
      <c r="B207" t="s">
        <v>397</v>
      </c>
      <c r="C207" t="s">
        <v>79</v>
      </c>
      <c r="D207" t="s">
        <v>74</v>
      </c>
      <c r="E207" s="1">
        <v>45347</v>
      </c>
      <c r="F207" s="1">
        <v>45883</v>
      </c>
      <c r="G207" t="s">
        <v>40</v>
      </c>
      <c r="H207" t="s">
        <v>28</v>
      </c>
      <c r="I207" t="s">
        <v>29</v>
      </c>
      <c r="J207" t="s">
        <v>399</v>
      </c>
      <c r="K207" t="s">
        <v>25</v>
      </c>
      <c r="L207" t="s">
        <v>81</v>
      </c>
      <c r="M207">
        <v>36</v>
      </c>
      <c r="N207">
        <v>0.13</v>
      </c>
      <c r="O207">
        <v>8166</v>
      </c>
      <c r="P207">
        <v>0</v>
      </c>
      <c r="Q207">
        <v>0</v>
      </c>
    </row>
    <row r="208" spans="1:17" x14ac:dyDescent="0.55000000000000004">
      <c r="A208" t="s">
        <v>396</v>
      </c>
      <c r="B208" t="s">
        <v>397</v>
      </c>
      <c r="C208" t="s">
        <v>79</v>
      </c>
      <c r="D208" t="s">
        <v>74</v>
      </c>
      <c r="E208" s="1">
        <v>45347</v>
      </c>
      <c r="F208" s="1">
        <v>45877</v>
      </c>
      <c r="G208" t="s">
        <v>40</v>
      </c>
      <c r="H208" t="s">
        <v>46</v>
      </c>
      <c r="I208" t="s">
        <v>33</v>
      </c>
      <c r="J208" t="s">
        <v>400</v>
      </c>
      <c r="K208" t="s">
        <v>42</v>
      </c>
      <c r="L208" t="s">
        <v>107</v>
      </c>
      <c r="M208">
        <v>3</v>
      </c>
      <c r="N208">
        <v>0.5</v>
      </c>
      <c r="O208">
        <v>9968</v>
      </c>
      <c r="P208">
        <v>0</v>
      </c>
      <c r="Q208">
        <v>0</v>
      </c>
    </row>
    <row r="209" spans="1:17" x14ac:dyDescent="0.55000000000000004">
      <c r="A209" t="s">
        <v>401</v>
      </c>
      <c r="B209" t="s">
        <v>402</v>
      </c>
      <c r="C209" t="s">
        <v>79</v>
      </c>
      <c r="D209" t="s">
        <v>45</v>
      </c>
      <c r="E209" s="1">
        <v>45350</v>
      </c>
      <c r="F209" s="1">
        <v>45831</v>
      </c>
      <c r="G209" t="s">
        <v>21</v>
      </c>
      <c r="H209" t="s">
        <v>28</v>
      </c>
      <c r="I209" t="s">
        <v>23</v>
      </c>
      <c r="J209" t="s">
        <v>403</v>
      </c>
      <c r="K209" t="s">
        <v>25</v>
      </c>
      <c r="L209" t="s">
        <v>48</v>
      </c>
      <c r="M209">
        <v>0</v>
      </c>
      <c r="N209">
        <v>0.98</v>
      </c>
      <c r="O209">
        <v>9313</v>
      </c>
      <c r="P209">
        <v>0</v>
      </c>
      <c r="Q209">
        <v>0</v>
      </c>
    </row>
    <row r="210" spans="1:17" x14ac:dyDescent="0.55000000000000004">
      <c r="A210" t="s">
        <v>401</v>
      </c>
      <c r="B210" t="s">
        <v>402</v>
      </c>
      <c r="C210" t="s">
        <v>79</v>
      </c>
      <c r="D210" t="s">
        <v>67</v>
      </c>
      <c r="E210" s="1">
        <v>45350</v>
      </c>
      <c r="F210" s="1">
        <v>45927</v>
      </c>
      <c r="G210" t="s">
        <v>21</v>
      </c>
      <c r="H210" t="s">
        <v>28</v>
      </c>
      <c r="I210" t="s">
        <v>29</v>
      </c>
      <c r="J210" t="s">
        <v>404</v>
      </c>
      <c r="K210" t="s">
        <v>25</v>
      </c>
      <c r="L210" t="s">
        <v>179</v>
      </c>
      <c r="M210">
        <v>21</v>
      </c>
      <c r="N210">
        <v>0.11</v>
      </c>
      <c r="O210">
        <v>4494</v>
      </c>
      <c r="P210">
        <v>0</v>
      </c>
      <c r="Q210">
        <v>0</v>
      </c>
    </row>
    <row r="211" spans="1:17" x14ac:dyDescent="0.55000000000000004">
      <c r="A211" t="s">
        <v>401</v>
      </c>
      <c r="B211" t="s">
        <v>402</v>
      </c>
      <c r="C211" t="s">
        <v>79</v>
      </c>
      <c r="D211" t="s">
        <v>82</v>
      </c>
      <c r="E211" s="1">
        <v>45350</v>
      </c>
      <c r="F211" s="1">
        <v>45383</v>
      </c>
      <c r="G211" t="s">
        <v>21</v>
      </c>
      <c r="H211" t="s">
        <v>28</v>
      </c>
      <c r="I211" t="s">
        <v>33</v>
      </c>
      <c r="J211" t="s">
        <v>405</v>
      </c>
      <c r="K211" t="s">
        <v>35</v>
      </c>
      <c r="L211" t="s">
        <v>48</v>
      </c>
      <c r="M211">
        <v>26</v>
      </c>
      <c r="N211">
        <v>1</v>
      </c>
      <c r="O211">
        <v>7738</v>
      </c>
      <c r="P211">
        <v>7435</v>
      </c>
      <c r="Q211">
        <v>0.96084259498578439</v>
      </c>
    </row>
    <row r="212" spans="1:17" x14ac:dyDescent="0.55000000000000004">
      <c r="A212" t="s">
        <v>406</v>
      </c>
      <c r="B212" t="s">
        <v>407</v>
      </c>
      <c r="C212" t="s">
        <v>19</v>
      </c>
      <c r="D212" t="s">
        <v>54</v>
      </c>
      <c r="E212" s="1">
        <v>45332</v>
      </c>
      <c r="F212" s="1">
        <v>45340</v>
      </c>
      <c r="G212" t="s">
        <v>40</v>
      </c>
      <c r="H212" t="s">
        <v>28</v>
      </c>
      <c r="I212" t="s">
        <v>23</v>
      </c>
      <c r="J212" t="s">
        <v>408</v>
      </c>
      <c r="K212" t="s">
        <v>35</v>
      </c>
      <c r="L212" t="s">
        <v>107</v>
      </c>
      <c r="M212">
        <v>32</v>
      </c>
      <c r="N212">
        <v>1</v>
      </c>
      <c r="O212">
        <v>8568</v>
      </c>
      <c r="P212">
        <v>8546</v>
      </c>
      <c r="Q212">
        <v>0.99743230625583568</v>
      </c>
    </row>
    <row r="213" spans="1:17" x14ac:dyDescent="0.55000000000000004">
      <c r="A213" t="s">
        <v>406</v>
      </c>
      <c r="B213" t="s">
        <v>407</v>
      </c>
      <c r="C213" t="s">
        <v>19</v>
      </c>
      <c r="D213" t="s">
        <v>20</v>
      </c>
      <c r="E213" s="1">
        <v>45332</v>
      </c>
      <c r="F213" s="1">
        <v>45341</v>
      </c>
      <c r="G213" t="s">
        <v>40</v>
      </c>
      <c r="H213" t="s">
        <v>28</v>
      </c>
      <c r="I213" t="s">
        <v>29</v>
      </c>
      <c r="J213" t="s">
        <v>409</v>
      </c>
      <c r="K213" t="s">
        <v>25</v>
      </c>
      <c r="L213" t="s">
        <v>107</v>
      </c>
      <c r="M213">
        <v>3</v>
      </c>
      <c r="N213">
        <v>0.62</v>
      </c>
      <c r="O213">
        <v>1052</v>
      </c>
      <c r="P213">
        <v>0</v>
      </c>
      <c r="Q213">
        <v>0</v>
      </c>
    </row>
    <row r="214" spans="1:17" x14ac:dyDescent="0.55000000000000004">
      <c r="A214" t="s">
        <v>406</v>
      </c>
      <c r="B214" t="s">
        <v>407</v>
      </c>
      <c r="C214" t="s">
        <v>19</v>
      </c>
      <c r="D214" t="s">
        <v>39</v>
      </c>
      <c r="E214" s="1">
        <v>45332</v>
      </c>
      <c r="F214" s="1">
        <v>45339</v>
      </c>
      <c r="G214" t="s">
        <v>40</v>
      </c>
      <c r="H214" t="s">
        <v>28</v>
      </c>
      <c r="I214" t="s">
        <v>33</v>
      </c>
      <c r="J214" t="s">
        <v>410</v>
      </c>
      <c r="K214" t="s">
        <v>35</v>
      </c>
      <c r="L214" t="s">
        <v>48</v>
      </c>
      <c r="M214">
        <v>10</v>
      </c>
      <c r="N214">
        <v>1</v>
      </c>
      <c r="O214">
        <v>7325</v>
      </c>
      <c r="P214">
        <v>6853</v>
      </c>
      <c r="Q214">
        <v>0.93556313993174056</v>
      </c>
    </row>
    <row r="215" spans="1:17" x14ac:dyDescent="0.55000000000000004">
      <c r="A215" t="s">
        <v>411</v>
      </c>
      <c r="B215" t="s">
        <v>412</v>
      </c>
      <c r="C215" t="s">
        <v>51</v>
      </c>
      <c r="D215" t="s">
        <v>32</v>
      </c>
      <c r="E215" s="1">
        <v>45405</v>
      </c>
      <c r="F215" s="1">
        <v>45804</v>
      </c>
      <c r="G215" t="s">
        <v>95</v>
      </c>
      <c r="H215" t="s">
        <v>28</v>
      </c>
      <c r="I215" t="s">
        <v>23</v>
      </c>
      <c r="J215" t="s">
        <v>413</v>
      </c>
      <c r="K215" t="s">
        <v>25</v>
      </c>
      <c r="L215" t="s">
        <v>56</v>
      </c>
      <c r="M215">
        <v>20</v>
      </c>
      <c r="N215">
        <v>0.77</v>
      </c>
      <c r="O215">
        <v>7862</v>
      </c>
      <c r="P215">
        <v>0</v>
      </c>
      <c r="Q215">
        <v>0</v>
      </c>
    </row>
    <row r="216" spans="1:17" x14ac:dyDescent="0.55000000000000004">
      <c r="A216" t="s">
        <v>411</v>
      </c>
      <c r="B216" t="s">
        <v>412</v>
      </c>
      <c r="C216" t="s">
        <v>51</v>
      </c>
      <c r="D216" t="s">
        <v>91</v>
      </c>
      <c r="E216" s="1">
        <v>45405</v>
      </c>
      <c r="F216" s="1">
        <v>45438</v>
      </c>
      <c r="G216" t="s">
        <v>95</v>
      </c>
      <c r="H216" t="s">
        <v>28</v>
      </c>
      <c r="I216" t="s">
        <v>29</v>
      </c>
      <c r="J216" t="s">
        <v>414</v>
      </c>
      <c r="K216" t="s">
        <v>35</v>
      </c>
      <c r="L216" t="s">
        <v>26</v>
      </c>
      <c r="M216">
        <v>29</v>
      </c>
      <c r="N216">
        <v>1</v>
      </c>
      <c r="O216">
        <v>7708</v>
      </c>
      <c r="P216">
        <v>7268</v>
      </c>
      <c r="Q216">
        <v>0.94291645044110017</v>
      </c>
    </row>
    <row r="217" spans="1:17" x14ac:dyDescent="0.55000000000000004">
      <c r="A217" t="s">
        <v>411</v>
      </c>
      <c r="B217" t="s">
        <v>412</v>
      </c>
      <c r="C217" t="s">
        <v>51</v>
      </c>
      <c r="D217" t="s">
        <v>27</v>
      </c>
      <c r="E217" s="1">
        <v>45405</v>
      </c>
      <c r="F217" s="1">
        <v>45817</v>
      </c>
      <c r="G217" t="s">
        <v>95</v>
      </c>
      <c r="H217" t="s">
        <v>22</v>
      </c>
      <c r="I217" t="s">
        <v>33</v>
      </c>
      <c r="J217" t="s">
        <v>415</v>
      </c>
      <c r="K217" t="s">
        <v>42</v>
      </c>
      <c r="L217" t="s">
        <v>48</v>
      </c>
      <c r="M217">
        <v>0</v>
      </c>
      <c r="N217">
        <v>0.36</v>
      </c>
      <c r="O217">
        <v>3260</v>
      </c>
      <c r="P217">
        <v>0</v>
      </c>
      <c r="Q217">
        <v>0</v>
      </c>
    </row>
    <row r="218" spans="1:17" x14ac:dyDescent="0.55000000000000004">
      <c r="A218" t="s">
        <v>416</v>
      </c>
      <c r="B218" t="s">
        <v>417</v>
      </c>
      <c r="C218" t="s">
        <v>79</v>
      </c>
      <c r="D218" t="s">
        <v>20</v>
      </c>
      <c r="E218" s="1">
        <v>45418</v>
      </c>
      <c r="F218" s="1">
        <v>45558</v>
      </c>
      <c r="G218" t="s">
        <v>21</v>
      </c>
      <c r="H218" t="s">
        <v>46</v>
      </c>
      <c r="I218" t="s">
        <v>23</v>
      </c>
      <c r="J218" t="s">
        <v>418</v>
      </c>
      <c r="K218" t="s">
        <v>35</v>
      </c>
      <c r="L218" t="s">
        <v>48</v>
      </c>
      <c r="M218">
        <v>29</v>
      </c>
      <c r="N218">
        <v>1</v>
      </c>
      <c r="O218">
        <v>1702</v>
      </c>
      <c r="P218">
        <v>1411</v>
      </c>
      <c r="Q218">
        <v>0.82902467685076375</v>
      </c>
    </row>
    <row r="219" spans="1:17" x14ac:dyDescent="0.55000000000000004">
      <c r="A219" t="s">
        <v>416</v>
      </c>
      <c r="B219" t="s">
        <v>417</v>
      </c>
      <c r="C219" t="s">
        <v>79</v>
      </c>
      <c r="D219" t="s">
        <v>54</v>
      </c>
      <c r="E219" s="1">
        <v>45418</v>
      </c>
      <c r="F219" s="1">
        <v>45526</v>
      </c>
      <c r="G219" t="s">
        <v>21</v>
      </c>
      <c r="H219" t="s">
        <v>28</v>
      </c>
      <c r="I219" t="s">
        <v>29</v>
      </c>
      <c r="J219" t="s">
        <v>419</v>
      </c>
      <c r="K219" t="s">
        <v>35</v>
      </c>
      <c r="L219" t="s">
        <v>26</v>
      </c>
      <c r="M219">
        <v>24</v>
      </c>
      <c r="N219">
        <v>1</v>
      </c>
      <c r="O219">
        <v>8403</v>
      </c>
      <c r="P219">
        <v>8115</v>
      </c>
      <c r="Q219">
        <v>0.96572652624062838</v>
      </c>
    </row>
    <row r="220" spans="1:17" x14ac:dyDescent="0.55000000000000004">
      <c r="A220" t="s">
        <v>416</v>
      </c>
      <c r="B220" t="s">
        <v>417</v>
      </c>
      <c r="C220" t="s">
        <v>79</v>
      </c>
      <c r="D220" t="s">
        <v>20</v>
      </c>
      <c r="E220" s="1">
        <v>45418</v>
      </c>
      <c r="F220" s="1">
        <v>45549</v>
      </c>
      <c r="G220" t="s">
        <v>21</v>
      </c>
      <c r="H220" t="s">
        <v>28</v>
      </c>
      <c r="I220" t="s">
        <v>33</v>
      </c>
      <c r="J220" t="s">
        <v>420</v>
      </c>
      <c r="K220" t="s">
        <v>35</v>
      </c>
      <c r="L220" t="s">
        <v>179</v>
      </c>
      <c r="M220">
        <v>14</v>
      </c>
      <c r="N220">
        <v>1</v>
      </c>
      <c r="O220">
        <v>4955</v>
      </c>
      <c r="P220">
        <v>4586</v>
      </c>
      <c r="Q220">
        <v>0.92552976791120078</v>
      </c>
    </row>
    <row r="221" spans="1:17" x14ac:dyDescent="0.55000000000000004">
      <c r="A221" t="s">
        <v>421</v>
      </c>
      <c r="B221" t="s">
        <v>422</v>
      </c>
      <c r="C221" t="s">
        <v>19</v>
      </c>
      <c r="D221" t="s">
        <v>43</v>
      </c>
      <c r="E221" s="1">
        <v>45433</v>
      </c>
      <c r="F221" s="1">
        <v>45499</v>
      </c>
      <c r="G221" t="s">
        <v>21</v>
      </c>
      <c r="H221" t="s">
        <v>28</v>
      </c>
      <c r="I221" t="s">
        <v>23</v>
      </c>
      <c r="J221" t="s">
        <v>423</v>
      </c>
      <c r="K221" t="s">
        <v>42</v>
      </c>
      <c r="L221" t="s">
        <v>53</v>
      </c>
      <c r="M221">
        <v>13</v>
      </c>
      <c r="N221">
        <v>0.74</v>
      </c>
      <c r="O221">
        <v>3533</v>
      </c>
      <c r="P221">
        <v>0</v>
      </c>
      <c r="Q221">
        <v>0</v>
      </c>
    </row>
    <row r="222" spans="1:17" x14ac:dyDescent="0.55000000000000004">
      <c r="A222" t="s">
        <v>421</v>
      </c>
      <c r="B222" t="s">
        <v>422</v>
      </c>
      <c r="C222" t="s">
        <v>19</v>
      </c>
      <c r="D222" t="s">
        <v>89</v>
      </c>
      <c r="E222" s="1">
        <v>45433</v>
      </c>
      <c r="F222" s="1">
        <v>45505</v>
      </c>
      <c r="G222" t="s">
        <v>21</v>
      </c>
      <c r="H222" t="s">
        <v>28</v>
      </c>
      <c r="I222" t="s">
        <v>29</v>
      </c>
      <c r="J222" t="s">
        <v>424</v>
      </c>
      <c r="K222" t="s">
        <v>42</v>
      </c>
      <c r="L222" t="s">
        <v>48</v>
      </c>
      <c r="M222">
        <v>8</v>
      </c>
      <c r="N222">
        <v>0.18</v>
      </c>
      <c r="O222">
        <v>8279</v>
      </c>
      <c r="P222">
        <v>0</v>
      </c>
      <c r="Q222">
        <v>0</v>
      </c>
    </row>
    <row r="223" spans="1:17" x14ac:dyDescent="0.55000000000000004">
      <c r="A223" t="s">
        <v>421</v>
      </c>
      <c r="B223" t="s">
        <v>422</v>
      </c>
      <c r="C223" t="s">
        <v>19</v>
      </c>
      <c r="D223" t="s">
        <v>20</v>
      </c>
      <c r="E223" s="1">
        <v>45433</v>
      </c>
      <c r="F223" s="1">
        <v>45490</v>
      </c>
      <c r="G223" t="s">
        <v>21</v>
      </c>
      <c r="H223" t="s">
        <v>28</v>
      </c>
      <c r="I223" t="s">
        <v>33</v>
      </c>
      <c r="J223" t="s">
        <v>425</v>
      </c>
      <c r="K223" t="s">
        <v>25</v>
      </c>
      <c r="L223" t="s">
        <v>31</v>
      </c>
      <c r="M223">
        <v>39</v>
      </c>
      <c r="N223">
        <v>0.05</v>
      </c>
      <c r="O223">
        <v>3680</v>
      </c>
      <c r="P223">
        <v>0</v>
      </c>
      <c r="Q223">
        <v>0</v>
      </c>
    </row>
    <row r="224" spans="1:17" x14ac:dyDescent="0.55000000000000004">
      <c r="A224" t="s">
        <v>426</v>
      </c>
      <c r="B224" t="s">
        <v>427</v>
      </c>
      <c r="C224" t="s">
        <v>79</v>
      </c>
      <c r="D224" t="s">
        <v>20</v>
      </c>
      <c r="E224" s="1">
        <v>45423</v>
      </c>
      <c r="F224" s="1">
        <v>45456</v>
      </c>
      <c r="G224" t="s">
        <v>21</v>
      </c>
      <c r="H224" t="s">
        <v>22</v>
      </c>
      <c r="I224" t="s">
        <v>23</v>
      </c>
      <c r="J224" t="s">
        <v>428</v>
      </c>
      <c r="K224" t="s">
        <v>35</v>
      </c>
      <c r="L224" t="s">
        <v>81</v>
      </c>
      <c r="M224">
        <v>11</v>
      </c>
      <c r="N224">
        <v>1</v>
      </c>
      <c r="O224">
        <v>8493</v>
      </c>
      <c r="P224">
        <v>12398</v>
      </c>
      <c r="Q224">
        <v>1.4597904156364065</v>
      </c>
    </row>
    <row r="225" spans="1:17" x14ac:dyDescent="0.55000000000000004">
      <c r="A225" t="s">
        <v>426</v>
      </c>
      <c r="B225" t="s">
        <v>427</v>
      </c>
      <c r="C225" t="s">
        <v>79</v>
      </c>
      <c r="D225" t="s">
        <v>89</v>
      </c>
      <c r="E225" s="1">
        <v>45423</v>
      </c>
      <c r="F225" s="1">
        <v>45912</v>
      </c>
      <c r="G225" t="s">
        <v>21</v>
      </c>
      <c r="H225" t="s">
        <v>22</v>
      </c>
      <c r="I225" t="s">
        <v>29</v>
      </c>
      <c r="J225" t="s">
        <v>429</v>
      </c>
      <c r="K225" t="s">
        <v>42</v>
      </c>
      <c r="L225" t="s">
        <v>48</v>
      </c>
      <c r="M225">
        <v>11</v>
      </c>
      <c r="N225">
        <v>0.26</v>
      </c>
      <c r="O225">
        <v>3828</v>
      </c>
      <c r="P225">
        <v>0</v>
      </c>
      <c r="Q225">
        <v>0</v>
      </c>
    </row>
    <row r="226" spans="1:17" x14ac:dyDescent="0.55000000000000004">
      <c r="A226" t="s">
        <v>426</v>
      </c>
      <c r="B226" t="s">
        <v>427</v>
      </c>
      <c r="C226" t="s">
        <v>79</v>
      </c>
      <c r="D226" t="s">
        <v>54</v>
      </c>
      <c r="E226" s="1">
        <v>45423</v>
      </c>
      <c r="F226" s="1">
        <v>45864</v>
      </c>
      <c r="G226" t="s">
        <v>21</v>
      </c>
      <c r="H226" t="s">
        <v>22</v>
      </c>
      <c r="I226" t="s">
        <v>33</v>
      </c>
      <c r="J226" t="s">
        <v>430</v>
      </c>
      <c r="K226" t="s">
        <v>25</v>
      </c>
      <c r="L226" t="s">
        <v>26</v>
      </c>
      <c r="M226">
        <v>0</v>
      </c>
      <c r="N226">
        <v>0.28999999999999998</v>
      </c>
      <c r="O226">
        <v>6118</v>
      </c>
      <c r="P226">
        <v>0</v>
      </c>
      <c r="Q226">
        <v>0</v>
      </c>
    </row>
    <row r="227" spans="1:17" x14ac:dyDescent="0.55000000000000004">
      <c r="A227" t="s">
        <v>431</v>
      </c>
      <c r="B227" t="s">
        <v>432</v>
      </c>
      <c r="C227" t="s">
        <v>19</v>
      </c>
      <c r="D227" t="s">
        <v>67</v>
      </c>
      <c r="E227" s="1">
        <v>45484</v>
      </c>
      <c r="F227" s="1">
        <v>45505</v>
      </c>
      <c r="G227" t="s">
        <v>40</v>
      </c>
      <c r="H227" t="s">
        <v>28</v>
      </c>
      <c r="I227" t="s">
        <v>23</v>
      </c>
      <c r="J227" t="s">
        <v>433</v>
      </c>
      <c r="K227" t="s">
        <v>42</v>
      </c>
      <c r="L227" t="s">
        <v>26</v>
      </c>
      <c r="M227">
        <v>15</v>
      </c>
      <c r="N227">
        <v>0.71</v>
      </c>
      <c r="O227">
        <v>6558</v>
      </c>
      <c r="P227">
        <v>0</v>
      </c>
      <c r="Q227">
        <v>0</v>
      </c>
    </row>
    <row r="228" spans="1:17" x14ac:dyDescent="0.55000000000000004">
      <c r="A228" t="s">
        <v>431</v>
      </c>
      <c r="B228" t="s">
        <v>432</v>
      </c>
      <c r="C228" t="s">
        <v>19</v>
      </c>
      <c r="D228" t="s">
        <v>43</v>
      </c>
      <c r="E228" s="1">
        <v>45484</v>
      </c>
      <c r="F228" s="1">
        <v>45515</v>
      </c>
      <c r="G228" t="s">
        <v>40</v>
      </c>
      <c r="H228" t="s">
        <v>22</v>
      </c>
      <c r="I228" t="s">
        <v>29</v>
      </c>
      <c r="J228" t="s">
        <v>434</v>
      </c>
      <c r="K228" t="s">
        <v>35</v>
      </c>
      <c r="L228" t="s">
        <v>107</v>
      </c>
      <c r="M228">
        <v>19</v>
      </c>
      <c r="N228">
        <v>1</v>
      </c>
      <c r="O228">
        <v>1044</v>
      </c>
      <c r="P228">
        <v>899</v>
      </c>
      <c r="Q228">
        <v>0.86111111111111116</v>
      </c>
    </row>
    <row r="229" spans="1:17" x14ac:dyDescent="0.55000000000000004">
      <c r="A229" t="s">
        <v>431</v>
      </c>
      <c r="B229" t="s">
        <v>432</v>
      </c>
      <c r="C229" t="s">
        <v>19</v>
      </c>
      <c r="D229" t="s">
        <v>32</v>
      </c>
      <c r="E229" s="1">
        <v>45484</v>
      </c>
      <c r="F229" s="1">
        <v>45505</v>
      </c>
      <c r="G229" t="s">
        <v>40</v>
      </c>
      <c r="H229" t="s">
        <v>28</v>
      </c>
      <c r="I229" t="s">
        <v>33</v>
      </c>
      <c r="J229" t="s">
        <v>435</v>
      </c>
      <c r="K229" t="s">
        <v>42</v>
      </c>
      <c r="L229" t="s">
        <v>107</v>
      </c>
      <c r="M229">
        <v>10</v>
      </c>
      <c r="N229">
        <v>0.21</v>
      </c>
      <c r="O229">
        <v>7397</v>
      </c>
      <c r="P229">
        <v>0</v>
      </c>
      <c r="Q229">
        <v>0</v>
      </c>
    </row>
    <row r="230" spans="1:17" x14ac:dyDescent="0.55000000000000004">
      <c r="A230" t="s">
        <v>436</v>
      </c>
      <c r="B230" t="s">
        <v>437</v>
      </c>
      <c r="C230" t="s">
        <v>38</v>
      </c>
      <c r="D230" t="s">
        <v>45</v>
      </c>
      <c r="E230" s="1">
        <v>45391</v>
      </c>
      <c r="F230" s="1">
        <v>45695</v>
      </c>
      <c r="G230" t="s">
        <v>95</v>
      </c>
      <c r="H230" t="s">
        <v>22</v>
      </c>
      <c r="I230" t="s">
        <v>23</v>
      </c>
      <c r="J230" t="s">
        <v>438</v>
      </c>
      <c r="K230" t="s">
        <v>25</v>
      </c>
      <c r="L230" t="s">
        <v>107</v>
      </c>
      <c r="M230">
        <v>2</v>
      </c>
      <c r="N230">
        <v>0.85</v>
      </c>
      <c r="O230">
        <v>8832</v>
      </c>
      <c r="P230">
        <v>0</v>
      </c>
      <c r="Q230">
        <v>0</v>
      </c>
    </row>
    <row r="231" spans="1:17" x14ac:dyDescent="0.55000000000000004">
      <c r="A231" t="s">
        <v>436</v>
      </c>
      <c r="B231" t="s">
        <v>437</v>
      </c>
      <c r="C231" t="s">
        <v>38</v>
      </c>
      <c r="D231" t="s">
        <v>54</v>
      </c>
      <c r="E231" s="1">
        <v>45391</v>
      </c>
      <c r="F231" s="1">
        <v>45424</v>
      </c>
      <c r="G231" t="s">
        <v>95</v>
      </c>
      <c r="H231" t="s">
        <v>28</v>
      </c>
      <c r="I231" t="s">
        <v>29</v>
      </c>
      <c r="J231" t="s">
        <v>439</v>
      </c>
      <c r="K231" t="s">
        <v>35</v>
      </c>
      <c r="L231" t="s">
        <v>31</v>
      </c>
      <c r="M231">
        <v>39</v>
      </c>
      <c r="N231">
        <v>1</v>
      </c>
      <c r="O231">
        <v>3123</v>
      </c>
      <c r="P231">
        <v>2841</v>
      </c>
      <c r="Q231">
        <v>0.90970220941402502</v>
      </c>
    </row>
    <row r="232" spans="1:17" x14ac:dyDescent="0.55000000000000004">
      <c r="A232" t="s">
        <v>436</v>
      </c>
      <c r="B232" t="s">
        <v>437</v>
      </c>
      <c r="C232" t="s">
        <v>38</v>
      </c>
      <c r="D232" t="s">
        <v>82</v>
      </c>
      <c r="E232" s="1">
        <v>45391</v>
      </c>
      <c r="F232" s="1">
        <v>45729</v>
      </c>
      <c r="G232" t="s">
        <v>95</v>
      </c>
      <c r="H232" t="s">
        <v>46</v>
      </c>
      <c r="I232" t="s">
        <v>33</v>
      </c>
      <c r="J232" t="s">
        <v>440</v>
      </c>
      <c r="K232" t="s">
        <v>42</v>
      </c>
      <c r="L232" t="s">
        <v>179</v>
      </c>
      <c r="M232">
        <v>1</v>
      </c>
      <c r="N232">
        <v>0.15</v>
      </c>
      <c r="O232">
        <v>6854</v>
      </c>
      <c r="P232">
        <v>0</v>
      </c>
      <c r="Q232">
        <v>0</v>
      </c>
    </row>
    <row r="233" spans="1:17" x14ac:dyDescent="0.55000000000000004">
      <c r="A233" t="s">
        <v>441</v>
      </c>
      <c r="B233" t="s">
        <v>442</v>
      </c>
      <c r="C233" t="s">
        <v>51</v>
      </c>
      <c r="D233" t="s">
        <v>67</v>
      </c>
      <c r="E233" s="1">
        <v>45317</v>
      </c>
      <c r="F233" s="1">
        <v>45401</v>
      </c>
      <c r="G233" t="s">
        <v>95</v>
      </c>
      <c r="H233" t="s">
        <v>28</v>
      </c>
      <c r="I233" t="s">
        <v>23</v>
      </c>
      <c r="J233" t="s">
        <v>443</v>
      </c>
      <c r="K233" t="s">
        <v>35</v>
      </c>
      <c r="L233" t="s">
        <v>48</v>
      </c>
      <c r="M233">
        <v>25</v>
      </c>
      <c r="N233">
        <v>1</v>
      </c>
      <c r="O233">
        <v>8429</v>
      </c>
      <c r="P233">
        <v>8416</v>
      </c>
      <c r="Q233">
        <v>0.99845770554039626</v>
      </c>
    </row>
    <row r="234" spans="1:17" x14ac:dyDescent="0.55000000000000004">
      <c r="A234" t="s">
        <v>441</v>
      </c>
      <c r="B234" t="s">
        <v>442</v>
      </c>
      <c r="C234" t="s">
        <v>51</v>
      </c>
      <c r="D234" t="s">
        <v>27</v>
      </c>
      <c r="E234" s="1">
        <v>45317</v>
      </c>
      <c r="F234" s="1">
        <v>45369</v>
      </c>
      <c r="G234" t="s">
        <v>95</v>
      </c>
      <c r="H234" t="s">
        <v>28</v>
      </c>
      <c r="I234" t="s">
        <v>29</v>
      </c>
      <c r="J234" t="s">
        <v>444</v>
      </c>
      <c r="K234" t="s">
        <v>25</v>
      </c>
      <c r="L234" t="s">
        <v>53</v>
      </c>
      <c r="M234">
        <v>4</v>
      </c>
      <c r="N234">
        <v>0.95</v>
      </c>
      <c r="O234">
        <v>1501</v>
      </c>
      <c r="P234">
        <v>0</v>
      </c>
      <c r="Q234">
        <v>0</v>
      </c>
    </row>
    <row r="235" spans="1:17" x14ac:dyDescent="0.55000000000000004">
      <c r="A235" t="s">
        <v>441</v>
      </c>
      <c r="B235" t="s">
        <v>442</v>
      </c>
      <c r="C235" t="s">
        <v>51</v>
      </c>
      <c r="D235" t="s">
        <v>39</v>
      </c>
      <c r="E235" s="1">
        <v>45317</v>
      </c>
      <c r="F235" s="1">
        <v>45391</v>
      </c>
      <c r="G235" t="s">
        <v>95</v>
      </c>
      <c r="H235" t="s">
        <v>22</v>
      </c>
      <c r="I235" t="s">
        <v>33</v>
      </c>
      <c r="J235" t="s">
        <v>445</v>
      </c>
      <c r="K235" t="s">
        <v>35</v>
      </c>
      <c r="L235" t="s">
        <v>48</v>
      </c>
      <c r="M235">
        <v>12</v>
      </c>
      <c r="N235">
        <v>1</v>
      </c>
      <c r="O235">
        <v>8487</v>
      </c>
      <c r="P235">
        <v>8486</v>
      </c>
      <c r="Q235">
        <v>0.99988217273477087</v>
      </c>
    </row>
    <row r="236" spans="1:17" x14ac:dyDescent="0.55000000000000004">
      <c r="A236" t="s">
        <v>446</v>
      </c>
      <c r="B236" t="s">
        <v>447</v>
      </c>
      <c r="C236" t="s">
        <v>60</v>
      </c>
      <c r="D236" t="s">
        <v>45</v>
      </c>
      <c r="E236" s="1">
        <v>45404</v>
      </c>
      <c r="F236" s="1">
        <v>45670</v>
      </c>
      <c r="G236" t="s">
        <v>35</v>
      </c>
      <c r="H236" t="s">
        <v>28</v>
      </c>
      <c r="I236" t="s">
        <v>23</v>
      </c>
      <c r="J236" t="s">
        <v>448</v>
      </c>
      <c r="K236" t="s">
        <v>25</v>
      </c>
      <c r="L236" t="s">
        <v>53</v>
      </c>
      <c r="M236">
        <v>13</v>
      </c>
      <c r="N236">
        <v>0.11</v>
      </c>
      <c r="O236">
        <v>6425</v>
      </c>
      <c r="P236">
        <v>0</v>
      </c>
      <c r="Q236">
        <v>0</v>
      </c>
    </row>
    <row r="237" spans="1:17" x14ac:dyDescent="0.55000000000000004">
      <c r="A237" t="s">
        <v>446</v>
      </c>
      <c r="B237" t="s">
        <v>447</v>
      </c>
      <c r="C237" t="s">
        <v>60</v>
      </c>
      <c r="D237" t="s">
        <v>82</v>
      </c>
      <c r="E237" s="1">
        <v>45404</v>
      </c>
      <c r="F237" s="1">
        <v>45731</v>
      </c>
      <c r="G237" t="s">
        <v>35</v>
      </c>
      <c r="H237" t="s">
        <v>28</v>
      </c>
      <c r="I237" t="s">
        <v>29</v>
      </c>
      <c r="J237" t="s">
        <v>449</v>
      </c>
      <c r="K237" t="s">
        <v>25</v>
      </c>
      <c r="L237" t="s">
        <v>81</v>
      </c>
      <c r="M237">
        <v>34</v>
      </c>
      <c r="N237">
        <v>0.05</v>
      </c>
      <c r="O237">
        <v>8044</v>
      </c>
      <c r="P237">
        <v>0</v>
      </c>
      <c r="Q237">
        <v>0</v>
      </c>
    </row>
    <row r="238" spans="1:17" x14ac:dyDescent="0.55000000000000004">
      <c r="A238" t="s">
        <v>446</v>
      </c>
      <c r="B238" t="s">
        <v>447</v>
      </c>
      <c r="C238" t="s">
        <v>60</v>
      </c>
      <c r="D238" t="s">
        <v>43</v>
      </c>
      <c r="E238" s="1">
        <v>45404</v>
      </c>
      <c r="F238" s="1">
        <v>45437</v>
      </c>
      <c r="G238" t="s">
        <v>35</v>
      </c>
      <c r="H238" t="s">
        <v>22</v>
      </c>
      <c r="I238" t="s">
        <v>33</v>
      </c>
      <c r="J238" t="s">
        <v>450</v>
      </c>
      <c r="K238" t="s">
        <v>35</v>
      </c>
      <c r="L238" t="s">
        <v>31</v>
      </c>
      <c r="M238">
        <v>13</v>
      </c>
      <c r="N238">
        <v>1</v>
      </c>
      <c r="O238">
        <v>9524</v>
      </c>
      <c r="P238">
        <v>9474</v>
      </c>
      <c r="Q238">
        <v>0.99475010499790006</v>
      </c>
    </row>
    <row r="239" spans="1:17" x14ac:dyDescent="0.55000000000000004">
      <c r="A239" t="s">
        <v>451</v>
      </c>
      <c r="B239" t="s">
        <v>452</v>
      </c>
      <c r="C239" t="s">
        <v>66</v>
      </c>
      <c r="D239" t="s">
        <v>32</v>
      </c>
      <c r="E239" s="1">
        <v>45398</v>
      </c>
      <c r="F239" s="1">
        <v>45482</v>
      </c>
      <c r="G239" t="s">
        <v>40</v>
      </c>
      <c r="H239" t="s">
        <v>28</v>
      </c>
      <c r="I239" t="s">
        <v>23</v>
      </c>
      <c r="J239" t="s">
        <v>453</v>
      </c>
      <c r="K239" t="s">
        <v>42</v>
      </c>
      <c r="L239" t="s">
        <v>107</v>
      </c>
      <c r="M239">
        <v>13</v>
      </c>
      <c r="N239">
        <v>0.7</v>
      </c>
      <c r="O239">
        <v>4368</v>
      </c>
      <c r="P239">
        <v>0</v>
      </c>
      <c r="Q239">
        <v>0</v>
      </c>
    </row>
    <row r="240" spans="1:17" x14ac:dyDescent="0.55000000000000004">
      <c r="A240" t="s">
        <v>451</v>
      </c>
      <c r="B240" t="s">
        <v>452</v>
      </c>
      <c r="C240" t="s">
        <v>66</v>
      </c>
      <c r="D240" t="s">
        <v>27</v>
      </c>
      <c r="E240" s="1">
        <v>45398</v>
      </c>
      <c r="F240" s="1">
        <v>45466</v>
      </c>
      <c r="G240" t="s">
        <v>40</v>
      </c>
      <c r="H240" t="s">
        <v>46</v>
      </c>
      <c r="I240" t="s">
        <v>29</v>
      </c>
      <c r="J240" t="s">
        <v>454</v>
      </c>
      <c r="K240" t="s">
        <v>25</v>
      </c>
      <c r="L240" t="s">
        <v>53</v>
      </c>
      <c r="M240">
        <v>15</v>
      </c>
      <c r="N240">
        <v>0.65</v>
      </c>
      <c r="O240">
        <v>2261</v>
      </c>
      <c r="P240">
        <v>0</v>
      </c>
      <c r="Q240">
        <v>0</v>
      </c>
    </row>
    <row r="241" spans="1:17" x14ac:dyDescent="0.55000000000000004">
      <c r="A241" t="s">
        <v>451</v>
      </c>
      <c r="B241" t="s">
        <v>452</v>
      </c>
      <c r="C241" t="s">
        <v>66</v>
      </c>
      <c r="D241" t="s">
        <v>20</v>
      </c>
      <c r="E241" s="1">
        <v>45398</v>
      </c>
      <c r="F241" s="1">
        <v>45479</v>
      </c>
      <c r="G241" t="s">
        <v>40</v>
      </c>
      <c r="H241" t="s">
        <v>22</v>
      </c>
      <c r="I241" t="s">
        <v>33</v>
      </c>
      <c r="J241" t="s">
        <v>455</v>
      </c>
      <c r="K241" t="s">
        <v>35</v>
      </c>
      <c r="L241" t="s">
        <v>48</v>
      </c>
      <c r="M241">
        <v>27</v>
      </c>
      <c r="N241">
        <v>1</v>
      </c>
      <c r="O241">
        <v>8706</v>
      </c>
      <c r="P241">
        <v>8333</v>
      </c>
      <c r="Q241">
        <v>0.95715598437858951</v>
      </c>
    </row>
    <row r="242" spans="1:17" x14ac:dyDescent="0.55000000000000004">
      <c r="A242" t="s">
        <v>456</v>
      </c>
      <c r="B242" t="s">
        <v>457</v>
      </c>
      <c r="C242" t="s">
        <v>19</v>
      </c>
      <c r="D242" t="s">
        <v>39</v>
      </c>
      <c r="E242" s="1">
        <v>45443</v>
      </c>
      <c r="F242" s="1">
        <v>45661</v>
      </c>
      <c r="G242" t="s">
        <v>40</v>
      </c>
      <c r="H242" t="s">
        <v>28</v>
      </c>
      <c r="I242" t="s">
        <v>23</v>
      </c>
      <c r="J242" t="s">
        <v>458</v>
      </c>
      <c r="K242" t="s">
        <v>25</v>
      </c>
      <c r="L242" t="s">
        <v>48</v>
      </c>
      <c r="M242">
        <v>26</v>
      </c>
      <c r="N242">
        <v>0.08</v>
      </c>
      <c r="O242">
        <v>1149</v>
      </c>
      <c r="P242">
        <v>0</v>
      </c>
      <c r="Q242">
        <v>0</v>
      </c>
    </row>
    <row r="243" spans="1:17" x14ac:dyDescent="0.55000000000000004">
      <c r="A243" t="s">
        <v>456</v>
      </c>
      <c r="B243" t="s">
        <v>457</v>
      </c>
      <c r="C243" t="s">
        <v>19</v>
      </c>
      <c r="D243" t="s">
        <v>54</v>
      </c>
      <c r="E243" s="1">
        <v>45443</v>
      </c>
      <c r="F243" s="1">
        <v>45719</v>
      </c>
      <c r="G243" t="s">
        <v>40</v>
      </c>
      <c r="H243" t="s">
        <v>22</v>
      </c>
      <c r="I243" t="s">
        <v>29</v>
      </c>
      <c r="J243" t="s">
        <v>459</v>
      </c>
      <c r="K243" t="s">
        <v>25</v>
      </c>
      <c r="L243" t="s">
        <v>56</v>
      </c>
      <c r="M243">
        <v>5</v>
      </c>
      <c r="N243">
        <v>0.09</v>
      </c>
      <c r="O243">
        <v>5011</v>
      </c>
      <c r="P243">
        <v>0</v>
      </c>
      <c r="Q243">
        <v>0</v>
      </c>
    </row>
    <row r="244" spans="1:17" x14ac:dyDescent="0.55000000000000004">
      <c r="A244" t="s">
        <v>456</v>
      </c>
      <c r="B244" t="s">
        <v>457</v>
      </c>
      <c r="C244" t="s">
        <v>19</v>
      </c>
      <c r="D244" t="s">
        <v>74</v>
      </c>
      <c r="E244" s="1">
        <v>45443</v>
      </c>
      <c r="F244" s="1">
        <v>45476</v>
      </c>
      <c r="G244" t="s">
        <v>40</v>
      </c>
      <c r="H244" t="s">
        <v>28</v>
      </c>
      <c r="I244" t="s">
        <v>33</v>
      </c>
      <c r="J244" t="s">
        <v>460</v>
      </c>
      <c r="K244" t="s">
        <v>35</v>
      </c>
      <c r="L244" t="s">
        <v>81</v>
      </c>
      <c r="M244">
        <v>5</v>
      </c>
      <c r="N244">
        <v>1</v>
      </c>
      <c r="O244">
        <v>6163</v>
      </c>
      <c r="P244">
        <v>5756</v>
      </c>
      <c r="Q244">
        <v>0.93396073340905406</v>
      </c>
    </row>
    <row r="245" spans="1:17" x14ac:dyDescent="0.55000000000000004">
      <c r="A245" t="s">
        <v>461</v>
      </c>
      <c r="B245" t="s">
        <v>462</v>
      </c>
      <c r="C245" t="s">
        <v>79</v>
      </c>
      <c r="D245" t="s">
        <v>32</v>
      </c>
      <c r="E245" s="1">
        <v>45474</v>
      </c>
      <c r="F245" s="1">
        <v>45728</v>
      </c>
      <c r="G245" t="s">
        <v>40</v>
      </c>
      <c r="H245" t="s">
        <v>22</v>
      </c>
      <c r="I245" t="s">
        <v>23</v>
      </c>
      <c r="J245" t="s">
        <v>463</v>
      </c>
      <c r="K245" t="s">
        <v>25</v>
      </c>
      <c r="L245" t="s">
        <v>81</v>
      </c>
      <c r="M245">
        <v>4</v>
      </c>
      <c r="N245">
        <v>0.47</v>
      </c>
      <c r="O245">
        <v>7524</v>
      </c>
      <c r="P245">
        <v>0</v>
      </c>
      <c r="Q245">
        <v>0</v>
      </c>
    </row>
    <row r="246" spans="1:17" x14ac:dyDescent="0.55000000000000004">
      <c r="A246" t="s">
        <v>461</v>
      </c>
      <c r="B246" t="s">
        <v>462</v>
      </c>
      <c r="C246" t="s">
        <v>79</v>
      </c>
      <c r="D246" t="s">
        <v>82</v>
      </c>
      <c r="E246" s="1">
        <v>45474</v>
      </c>
      <c r="F246" s="1">
        <v>45560</v>
      </c>
      <c r="G246" t="s">
        <v>40</v>
      </c>
      <c r="H246" t="s">
        <v>22</v>
      </c>
      <c r="I246" t="s">
        <v>29</v>
      </c>
      <c r="J246" t="s">
        <v>464</v>
      </c>
      <c r="K246" t="s">
        <v>35</v>
      </c>
      <c r="L246" t="s">
        <v>53</v>
      </c>
      <c r="M246">
        <v>10</v>
      </c>
      <c r="N246">
        <v>1</v>
      </c>
      <c r="O246">
        <v>2202</v>
      </c>
      <c r="P246">
        <v>1878</v>
      </c>
      <c r="Q246">
        <v>0.85286103542234337</v>
      </c>
    </row>
    <row r="247" spans="1:17" x14ac:dyDescent="0.55000000000000004">
      <c r="A247" t="s">
        <v>461</v>
      </c>
      <c r="B247" t="s">
        <v>462</v>
      </c>
      <c r="C247" t="s">
        <v>79</v>
      </c>
      <c r="D247" t="s">
        <v>39</v>
      </c>
      <c r="E247" s="1">
        <v>45474</v>
      </c>
      <c r="F247" s="1">
        <v>45733</v>
      </c>
      <c r="G247" t="s">
        <v>40</v>
      </c>
      <c r="H247" t="s">
        <v>28</v>
      </c>
      <c r="I247" t="s">
        <v>33</v>
      </c>
      <c r="J247" t="s">
        <v>465</v>
      </c>
      <c r="K247" t="s">
        <v>25</v>
      </c>
      <c r="L247" t="s">
        <v>81</v>
      </c>
      <c r="M247">
        <v>21</v>
      </c>
      <c r="N247">
        <v>0.57999999999999996</v>
      </c>
      <c r="O247">
        <v>6835</v>
      </c>
      <c r="P247">
        <v>0</v>
      </c>
      <c r="Q247">
        <v>0</v>
      </c>
    </row>
    <row r="248" spans="1:17" x14ac:dyDescent="0.55000000000000004">
      <c r="A248" t="s">
        <v>466</v>
      </c>
      <c r="B248" t="s">
        <v>467</v>
      </c>
      <c r="C248" t="s">
        <v>51</v>
      </c>
      <c r="D248" t="s">
        <v>67</v>
      </c>
      <c r="E248" s="1">
        <v>45371</v>
      </c>
      <c r="F248" s="1">
        <v>45448</v>
      </c>
      <c r="G248" t="s">
        <v>21</v>
      </c>
      <c r="H248" t="s">
        <v>22</v>
      </c>
      <c r="I248" t="s">
        <v>23</v>
      </c>
      <c r="J248" t="s">
        <v>468</v>
      </c>
      <c r="K248" t="s">
        <v>35</v>
      </c>
      <c r="L248" t="s">
        <v>48</v>
      </c>
      <c r="M248">
        <v>24</v>
      </c>
      <c r="N248">
        <v>1</v>
      </c>
      <c r="O248">
        <v>8645</v>
      </c>
      <c r="P248">
        <v>8633</v>
      </c>
      <c r="Q248">
        <v>0.99861191440138808</v>
      </c>
    </row>
    <row r="249" spans="1:17" x14ac:dyDescent="0.55000000000000004">
      <c r="A249" t="s">
        <v>466</v>
      </c>
      <c r="B249" t="s">
        <v>467</v>
      </c>
      <c r="C249" t="s">
        <v>51</v>
      </c>
      <c r="D249" t="s">
        <v>43</v>
      </c>
      <c r="E249" s="1">
        <v>45371</v>
      </c>
      <c r="F249" s="1">
        <v>45437</v>
      </c>
      <c r="G249" t="s">
        <v>21</v>
      </c>
      <c r="H249" t="s">
        <v>28</v>
      </c>
      <c r="I249" t="s">
        <v>29</v>
      </c>
      <c r="J249" t="s">
        <v>469</v>
      </c>
      <c r="K249" t="s">
        <v>35</v>
      </c>
      <c r="L249" t="s">
        <v>31</v>
      </c>
      <c r="M249">
        <v>19</v>
      </c>
      <c r="N249">
        <v>1</v>
      </c>
      <c r="O249">
        <v>9360</v>
      </c>
      <c r="P249">
        <v>9196</v>
      </c>
      <c r="Q249">
        <v>0.98247863247863243</v>
      </c>
    </row>
    <row r="250" spans="1:17" x14ac:dyDescent="0.55000000000000004">
      <c r="A250" t="s">
        <v>466</v>
      </c>
      <c r="B250" t="s">
        <v>467</v>
      </c>
      <c r="C250" t="s">
        <v>51</v>
      </c>
      <c r="D250" t="s">
        <v>91</v>
      </c>
      <c r="E250" s="1">
        <v>45371</v>
      </c>
      <c r="F250" s="1">
        <v>45458</v>
      </c>
      <c r="G250" t="s">
        <v>21</v>
      </c>
      <c r="H250" t="s">
        <v>28</v>
      </c>
      <c r="I250" t="s">
        <v>33</v>
      </c>
      <c r="J250" t="s">
        <v>470</v>
      </c>
      <c r="K250" t="s">
        <v>25</v>
      </c>
      <c r="L250" t="s">
        <v>31</v>
      </c>
      <c r="M250">
        <v>28</v>
      </c>
      <c r="N250">
        <v>0.37</v>
      </c>
      <c r="O250">
        <v>2183</v>
      </c>
      <c r="P250">
        <v>0</v>
      </c>
      <c r="Q250">
        <v>0</v>
      </c>
    </row>
    <row r="251" spans="1:17" x14ac:dyDescent="0.55000000000000004">
      <c r="A251" t="s">
        <v>471</v>
      </c>
      <c r="B251" t="s">
        <v>472</v>
      </c>
      <c r="C251" t="s">
        <v>79</v>
      </c>
      <c r="D251" t="s">
        <v>91</v>
      </c>
      <c r="E251" s="1">
        <v>45452</v>
      </c>
      <c r="F251" s="1">
        <v>45785</v>
      </c>
      <c r="G251" t="s">
        <v>95</v>
      </c>
      <c r="H251" t="s">
        <v>46</v>
      </c>
      <c r="I251" t="s">
        <v>23</v>
      </c>
      <c r="J251" t="s">
        <v>473</v>
      </c>
      <c r="K251" t="s">
        <v>42</v>
      </c>
      <c r="L251" t="s">
        <v>31</v>
      </c>
      <c r="M251">
        <v>17</v>
      </c>
      <c r="N251">
        <v>0.54</v>
      </c>
      <c r="O251">
        <v>1713</v>
      </c>
      <c r="P251">
        <v>0</v>
      </c>
      <c r="Q251">
        <v>0</v>
      </c>
    </row>
    <row r="252" spans="1:17" x14ac:dyDescent="0.55000000000000004">
      <c r="A252" t="s">
        <v>471</v>
      </c>
      <c r="B252" t="s">
        <v>472</v>
      </c>
      <c r="C252" t="s">
        <v>79</v>
      </c>
      <c r="D252" t="s">
        <v>74</v>
      </c>
      <c r="E252" s="1">
        <v>45452</v>
      </c>
      <c r="F252" s="1">
        <v>45766</v>
      </c>
      <c r="G252" t="s">
        <v>95</v>
      </c>
      <c r="H252" t="s">
        <v>22</v>
      </c>
      <c r="I252" t="s">
        <v>29</v>
      </c>
      <c r="J252" t="s">
        <v>474</v>
      </c>
      <c r="K252" t="s">
        <v>25</v>
      </c>
      <c r="L252" t="s">
        <v>81</v>
      </c>
      <c r="M252">
        <v>16</v>
      </c>
      <c r="N252">
        <v>0.91</v>
      </c>
      <c r="O252">
        <v>6400</v>
      </c>
      <c r="P252">
        <v>0</v>
      </c>
      <c r="Q252">
        <v>0</v>
      </c>
    </row>
    <row r="253" spans="1:17" x14ac:dyDescent="0.55000000000000004">
      <c r="A253" t="s">
        <v>471</v>
      </c>
      <c r="B253" t="s">
        <v>472</v>
      </c>
      <c r="C253" t="s">
        <v>79</v>
      </c>
      <c r="D253" t="s">
        <v>74</v>
      </c>
      <c r="E253" s="1">
        <v>45452</v>
      </c>
      <c r="F253" s="1">
        <v>45741</v>
      </c>
      <c r="G253" t="s">
        <v>95</v>
      </c>
      <c r="H253" t="s">
        <v>28</v>
      </c>
      <c r="I253" t="s">
        <v>33</v>
      </c>
      <c r="J253" t="s">
        <v>475</v>
      </c>
      <c r="K253" t="s">
        <v>42</v>
      </c>
      <c r="L253" t="s">
        <v>107</v>
      </c>
      <c r="M253">
        <v>14</v>
      </c>
      <c r="N253">
        <v>0.2</v>
      </c>
      <c r="O253">
        <v>3319</v>
      </c>
      <c r="P253">
        <v>0</v>
      </c>
      <c r="Q253">
        <v>0</v>
      </c>
    </row>
    <row r="254" spans="1:17" x14ac:dyDescent="0.55000000000000004">
      <c r="A254" t="s">
        <v>476</v>
      </c>
      <c r="B254" t="s">
        <v>477</v>
      </c>
      <c r="C254" t="s">
        <v>79</v>
      </c>
      <c r="D254" t="s">
        <v>54</v>
      </c>
      <c r="E254" s="1">
        <v>45507</v>
      </c>
      <c r="F254" s="1">
        <v>45614</v>
      </c>
      <c r="G254" t="s">
        <v>35</v>
      </c>
      <c r="H254" t="s">
        <v>46</v>
      </c>
      <c r="I254" t="s">
        <v>23</v>
      </c>
      <c r="J254" t="s">
        <v>478</v>
      </c>
      <c r="K254" t="s">
        <v>42</v>
      </c>
      <c r="L254" t="s">
        <v>48</v>
      </c>
      <c r="M254">
        <v>17</v>
      </c>
      <c r="N254">
        <v>0.02</v>
      </c>
      <c r="O254">
        <v>8340</v>
      </c>
      <c r="P254">
        <v>0</v>
      </c>
      <c r="Q254">
        <v>0</v>
      </c>
    </row>
    <row r="255" spans="1:17" x14ac:dyDescent="0.55000000000000004">
      <c r="A255" t="s">
        <v>476</v>
      </c>
      <c r="B255" t="s">
        <v>477</v>
      </c>
      <c r="C255" t="s">
        <v>79</v>
      </c>
      <c r="D255" t="s">
        <v>87</v>
      </c>
      <c r="E255" s="1">
        <v>45507</v>
      </c>
      <c r="F255" s="1">
        <v>45560</v>
      </c>
      <c r="G255" t="s">
        <v>35</v>
      </c>
      <c r="H255" t="s">
        <v>28</v>
      </c>
      <c r="I255" t="s">
        <v>29</v>
      </c>
      <c r="J255" t="s">
        <v>479</v>
      </c>
      <c r="K255" t="s">
        <v>35</v>
      </c>
      <c r="L255" t="s">
        <v>179</v>
      </c>
      <c r="M255">
        <v>15</v>
      </c>
      <c r="N255">
        <v>1</v>
      </c>
      <c r="O255">
        <v>4749</v>
      </c>
      <c r="P255">
        <v>4572</v>
      </c>
      <c r="Q255">
        <v>0.96272899557801639</v>
      </c>
    </row>
    <row r="256" spans="1:17" x14ac:dyDescent="0.55000000000000004">
      <c r="A256" t="s">
        <v>476</v>
      </c>
      <c r="B256" t="s">
        <v>477</v>
      </c>
      <c r="C256" t="s">
        <v>79</v>
      </c>
      <c r="D256" t="s">
        <v>27</v>
      </c>
      <c r="E256" s="1">
        <v>45507</v>
      </c>
      <c r="F256" s="1">
        <v>45615</v>
      </c>
      <c r="G256" t="s">
        <v>35</v>
      </c>
      <c r="H256" t="s">
        <v>28</v>
      </c>
      <c r="I256" t="s">
        <v>33</v>
      </c>
      <c r="J256" t="s">
        <v>480</v>
      </c>
      <c r="K256" t="s">
        <v>42</v>
      </c>
      <c r="L256" t="s">
        <v>48</v>
      </c>
      <c r="M256">
        <v>24</v>
      </c>
      <c r="N256">
        <v>0.51</v>
      </c>
      <c r="O256">
        <v>6222</v>
      </c>
      <c r="P256">
        <v>0</v>
      </c>
      <c r="Q256">
        <v>0</v>
      </c>
    </row>
    <row r="257" spans="1:17" x14ac:dyDescent="0.55000000000000004">
      <c r="A257" t="s">
        <v>481</v>
      </c>
      <c r="B257" t="s">
        <v>482</v>
      </c>
      <c r="C257" t="s">
        <v>19</v>
      </c>
      <c r="D257" t="s">
        <v>39</v>
      </c>
      <c r="E257" s="1">
        <v>45320</v>
      </c>
      <c r="F257" s="1">
        <v>45636</v>
      </c>
      <c r="G257" t="s">
        <v>35</v>
      </c>
      <c r="H257" t="s">
        <v>28</v>
      </c>
      <c r="I257" t="s">
        <v>23</v>
      </c>
      <c r="J257" t="s">
        <v>483</v>
      </c>
      <c r="K257" t="s">
        <v>25</v>
      </c>
      <c r="L257" t="s">
        <v>107</v>
      </c>
      <c r="M257">
        <v>35</v>
      </c>
      <c r="N257">
        <v>0.54</v>
      </c>
      <c r="O257">
        <v>9246</v>
      </c>
      <c r="P257">
        <v>0</v>
      </c>
      <c r="Q257">
        <v>0</v>
      </c>
    </row>
    <row r="258" spans="1:17" x14ac:dyDescent="0.55000000000000004">
      <c r="A258" t="s">
        <v>481</v>
      </c>
      <c r="B258" t="s">
        <v>482</v>
      </c>
      <c r="C258" t="s">
        <v>19</v>
      </c>
      <c r="D258" t="s">
        <v>39</v>
      </c>
      <c r="E258" s="1">
        <v>45320</v>
      </c>
      <c r="F258" s="1">
        <v>45560</v>
      </c>
      <c r="G258" t="s">
        <v>35</v>
      </c>
      <c r="H258" t="s">
        <v>28</v>
      </c>
      <c r="I258" t="s">
        <v>29</v>
      </c>
      <c r="J258" t="s">
        <v>484</v>
      </c>
      <c r="K258" t="s">
        <v>35</v>
      </c>
      <c r="L258" t="s">
        <v>107</v>
      </c>
      <c r="M258">
        <v>6</v>
      </c>
      <c r="N258">
        <v>1</v>
      </c>
      <c r="O258">
        <v>7327</v>
      </c>
      <c r="P258">
        <v>7120</v>
      </c>
      <c r="Q258">
        <v>0.97174832810154221</v>
      </c>
    </row>
    <row r="259" spans="1:17" x14ac:dyDescent="0.55000000000000004">
      <c r="A259" t="s">
        <v>481</v>
      </c>
      <c r="B259" t="s">
        <v>482</v>
      </c>
      <c r="C259" t="s">
        <v>19</v>
      </c>
      <c r="D259" t="s">
        <v>54</v>
      </c>
      <c r="E259" s="1">
        <v>45320</v>
      </c>
      <c r="F259" s="1">
        <v>45582</v>
      </c>
      <c r="G259" t="s">
        <v>35</v>
      </c>
      <c r="H259" t="s">
        <v>28</v>
      </c>
      <c r="I259" t="s">
        <v>33</v>
      </c>
      <c r="J259" t="s">
        <v>485</v>
      </c>
      <c r="K259" t="s">
        <v>42</v>
      </c>
      <c r="L259" t="s">
        <v>48</v>
      </c>
      <c r="M259">
        <v>19</v>
      </c>
      <c r="N259">
        <v>0.25</v>
      </c>
      <c r="O259">
        <v>6331</v>
      </c>
      <c r="P259">
        <v>0</v>
      </c>
      <c r="Q259">
        <v>0</v>
      </c>
    </row>
    <row r="260" spans="1:17" x14ac:dyDescent="0.55000000000000004">
      <c r="A260" t="s">
        <v>486</v>
      </c>
      <c r="B260" t="s">
        <v>487</v>
      </c>
      <c r="C260" t="s">
        <v>51</v>
      </c>
      <c r="D260" t="s">
        <v>45</v>
      </c>
      <c r="E260" s="1">
        <v>45339</v>
      </c>
      <c r="F260" s="1">
        <v>45911</v>
      </c>
      <c r="G260" t="s">
        <v>40</v>
      </c>
      <c r="H260" t="s">
        <v>28</v>
      </c>
      <c r="I260" t="s">
        <v>23</v>
      </c>
      <c r="J260" t="s">
        <v>488</v>
      </c>
      <c r="K260" t="s">
        <v>25</v>
      </c>
      <c r="L260" t="s">
        <v>56</v>
      </c>
      <c r="M260">
        <v>8</v>
      </c>
      <c r="N260">
        <v>0.06</v>
      </c>
      <c r="O260">
        <v>2256</v>
      </c>
      <c r="P260">
        <v>0</v>
      </c>
      <c r="Q260">
        <v>0</v>
      </c>
    </row>
    <row r="261" spans="1:17" x14ac:dyDescent="0.55000000000000004">
      <c r="A261" t="s">
        <v>486</v>
      </c>
      <c r="B261" t="s">
        <v>487</v>
      </c>
      <c r="C261" t="s">
        <v>51</v>
      </c>
      <c r="D261" t="s">
        <v>43</v>
      </c>
      <c r="E261" s="1">
        <v>45339</v>
      </c>
      <c r="F261" s="1">
        <v>45937</v>
      </c>
      <c r="G261" t="s">
        <v>40</v>
      </c>
      <c r="H261" t="s">
        <v>22</v>
      </c>
      <c r="I261" t="s">
        <v>29</v>
      </c>
      <c r="J261" t="s">
        <v>489</v>
      </c>
      <c r="K261" t="s">
        <v>42</v>
      </c>
      <c r="L261" t="s">
        <v>26</v>
      </c>
      <c r="M261">
        <v>1</v>
      </c>
      <c r="N261">
        <v>0.45</v>
      </c>
      <c r="O261">
        <v>5371</v>
      </c>
      <c r="P261">
        <v>0</v>
      </c>
      <c r="Q261">
        <v>0</v>
      </c>
    </row>
    <row r="262" spans="1:17" x14ac:dyDescent="0.55000000000000004">
      <c r="A262" t="s">
        <v>486</v>
      </c>
      <c r="B262" t="s">
        <v>487</v>
      </c>
      <c r="C262" t="s">
        <v>51</v>
      </c>
      <c r="D262" t="s">
        <v>74</v>
      </c>
      <c r="E262" s="1">
        <v>45339</v>
      </c>
      <c r="F262" s="1">
        <v>45936</v>
      </c>
      <c r="G262" t="s">
        <v>40</v>
      </c>
      <c r="H262" t="s">
        <v>28</v>
      </c>
      <c r="I262" t="s">
        <v>33</v>
      </c>
      <c r="J262" t="s">
        <v>490</v>
      </c>
      <c r="K262" t="s">
        <v>25</v>
      </c>
      <c r="L262" t="s">
        <v>48</v>
      </c>
      <c r="M262">
        <v>12</v>
      </c>
      <c r="N262">
        <v>0.3</v>
      </c>
      <c r="O262">
        <v>2434</v>
      </c>
      <c r="P262">
        <v>0</v>
      </c>
      <c r="Q262">
        <v>0</v>
      </c>
    </row>
    <row r="263" spans="1:17" x14ac:dyDescent="0.55000000000000004">
      <c r="A263" t="s">
        <v>491</v>
      </c>
      <c r="B263" t="s">
        <v>492</v>
      </c>
      <c r="C263" t="s">
        <v>79</v>
      </c>
      <c r="D263" t="s">
        <v>91</v>
      </c>
      <c r="E263" s="1">
        <v>45494</v>
      </c>
      <c r="F263" s="1">
        <v>45701</v>
      </c>
      <c r="G263" t="s">
        <v>35</v>
      </c>
      <c r="H263" t="s">
        <v>28</v>
      </c>
      <c r="I263" t="s">
        <v>23</v>
      </c>
      <c r="J263" t="s">
        <v>493</v>
      </c>
      <c r="K263" t="s">
        <v>25</v>
      </c>
      <c r="L263" t="s">
        <v>48</v>
      </c>
      <c r="M263">
        <v>16</v>
      </c>
      <c r="N263">
        <v>0.28999999999999998</v>
      </c>
      <c r="O263">
        <v>7504</v>
      </c>
      <c r="P263">
        <v>0</v>
      </c>
      <c r="Q263">
        <v>0</v>
      </c>
    </row>
    <row r="264" spans="1:17" x14ac:dyDescent="0.55000000000000004">
      <c r="A264" t="s">
        <v>491</v>
      </c>
      <c r="B264" t="s">
        <v>492</v>
      </c>
      <c r="C264" t="s">
        <v>79</v>
      </c>
      <c r="D264" t="s">
        <v>54</v>
      </c>
      <c r="E264" s="1">
        <v>45494</v>
      </c>
      <c r="F264" s="1">
        <v>45690</v>
      </c>
      <c r="G264" t="s">
        <v>35</v>
      </c>
      <c r="H264" t="s">
        <v>22</v>
      </c>
      <c r="I264" t="s">
        <v>29</v>
      </c>
      <c r="J264" t="s">
        <v>494</v>
      </c>
      <c r="K264" t="s">
        <v>42</v>
      </c>
      <c r="L264" t="s">
        <v>26</v>
      </c>
      <c r="M264">
        <v>30</v>
      </c>
      <c r="N264">
        <v>0.48</v>
      </c>
      <c r="O264">
        <v>7717</v>
      </c>
      <c r="P264">
        <v>0</v>
      </c>
      <c r="Q264">
        <v>0</v>
      </c>
    </row>
    <row r="265" spans="1:17" x14ac:dyDescent="0.55000000000000004">
      <c r="A265" t="s">
        <v>491</v>
      </c>
      <c r="B265" t="s">
        <v>492</v>
      </c>
      <c r="C265" t="s">
        <v>79</v>
      </c>
      <c r="D265" t="s">
        <v>89</v>
      </c>
      <c r="E265" s="1">
        <v>45494</v>
      </c>
      <c r="F265" s="1">
        <v>45647</v>
      </c>
      <c r="G265" t="s">
        <v>35</v>
      </c>
      <c r="H265" t="s">
        <v>28</v>
      </c>
      <c r="I265" t="s">
        <v>33</v>
      </c>
      <c r="J265" t="s">
        <v>495</v>
      </c>
      <c r="K265" t="s">
        <v>25</v>
      </c>
      <c r="L265" t="s">
        <v>179</v>
      </c>
      <c r="M265">
        <v>18</v>
      </c>
      <c r="N265">
        <v>0.77</v>
      </c>
      <c r="O265">
        <v>4651</v>
      </c>
      <c r="P265">
        <v>0</v>
      </c>
      <c r="Q265">
        <v>0</v>
      </c>
    </row>
    <row r="266" spans="1:17" x14ac:dyDescent="0.55000000000000004">
      <c r="A266" t="s">
        <v>496</v>
      </c>
      <c r="B266" t="s">
        <v>497</v>
      </c>
      <c r="C266" t="s">
        <v>19</v>
      </c>
      <c r="D266" t="s">
        <v>91</v>
      </c>
      <c r="E266" s="1">
        <v>45438</v>
      </c>
      <c r="F266" s="1">
        <v>45783</v>
      </c>
      <c r="G266" t="s">
        <v>40</v>
      </c>
      <c r="H266" t="s">
        <v>22</v>
      </c>
      <c r="I266" t="s">
        <v>23</v>
      </c>
      <c r="J266" t="s">
        <v>498</v>
      </c>
      <c r="K266" t="s">
        <v>25</v>
      </c>
      <c r="L266" t="s">
        <v>53</v>
      </c>
      <c r="M266">
        <v>17</v>
      </c>
      <c r="N266">
        <v>0.75</v>
      </c>
      <c r="O266">
        <v>5791</v>
      </c>
      <c r="P266">
        <v>0</v>
      </c>
      <c r="Q266">
        <v>0</v>
      </c>
    </row>
    <row r="267" spans="1:17" x14ac:dyDescent="0.55000000000000004">
      <c r="A267" t="s">
        <v>496</v>
      </c>
      <c r="B267" t="s">
        <v>497</v>
      </c>
      <c r="C267" t="s">
        <v>19</v>
      </c>
      <c r="D267" t="s">
        <v>89</v>
      </c>
      <c r="E267" s="1">
        <v>45438</v>
      </c>
      <c r="F267" s="1">
        <v>45856</v>
      </c>
      <c r="G267" t="s">
        <v>40</v>
      </c>
      <c r="H267" t="s">
        <v>28</v>
      </c>
      <c r="I267" t="s">
        <v>29</v>
      </c>
      <c r="J267" t="s">
        <v>499</v>
      </c>
      <c r="K267" t="s">
        <v>25</v>
      </c>
      <c r="L267" t="s">
        <v>48</v>
      </c>
      <c r="M267">
        <v>4</v>
      </c>
      <c r="N267">
        <v>0.23</v>
      </c>
      <c r="O267">
        <v>4133</v>
      </c>
      <c r="P267">
        <v>0</v>
      </c>
      <c r="Q267">
        <v>0</v>
      </c>
    </row>
    <row r="268" spans="1:17" x14ac:dyDescent="0.55000000000000004">
      <c r="A268" t="s">
        <v>496</v>
      </c>
      <c r="B268" t="s">
        <v>497</v>
      </c>
      <c r="C268" t="s">
        <v>19</v>
      </c>
      <c r="D268" t="s">
        <v>89</v>
      </c>
      <c r="E268" s="1">
        <v>45438</v>
      </c>
      <c r="F268" s="1">
        <v>45471</v>
      </c>
      <c r="G268" t="s">
        <v>40</v>
      </c>
      <c r="H268" t="s">
        <v>22</v>
      </c>
      <c r="I268" t="s">
        <v>33</v>
      </c>
      <c r="J268" t="s">
        <v>500</v>
      </c>
      <c r="K268" t="s">
        <v>35</v>
      </c>
      <c r="L268" t="s">
        <v>31</v>
      </c>
      <c r="M268">
        <v>34</v>
      </c>
      <c r="N268">
        <v>1</v>
      </c>
      <c r="O268">
        <v>8716</v>
      </c>
      <c r="P268">
        <v>8476</v>
      </c>
      <c r="Q268">
        <v>0.97246443322625054</v>
      </c>
    </row>
    <row r="269" spans="1:17" x14ac:dyDescent="0.55000000000000004">
      <c r="A269" t="s">
        <v>501</v>
      </c>
      <c r="B269" t="s">
        <v>502</v>
      </c>
      <c r="C269" t="s">
        <v>79</v>
      </c>
      <c r="D269" t="s">
        <v>67</v>
      </c>
      <c r="E269" s="1">
        <v>45454</v>
      </c>
      <c r="F269" s="1">
        <v>45487</v>
      </c>
      <c r="G269" t="s">
        <v>35</v>
      </c>
      <c r="H269" t="s">
        <v>28</v>
      </c>
      <c r="I269" t="s">
        <v>23</v>
      </c>
      <c r="J269" t="s">
        <v>503</v>
      </c>
      <c r="K269" t="s">
        <v>35</v>
      </c>
      <c r="L269" t="s">
        <v>81</v>
      </c>
      <c r="M269">
        <v>21</v>
      </c>
      <c r="N269">
        <v>1</v>
      </c>
      <c r="O269">
        <v>9174</v>
      </c>
      <c r="P269">
        <v>9031</v>
      </c>
      <c r="Q269">
        <v>0.9844124700239808</v>
      </c>
    </row>
    <row r="270" spans="1:17" x14ac:dyDescent="0.55000000000000004">
      <c r="A270" t="s">
        <v>501</v>
      </c>
      <c r="B270" t="s">
        <v>502</v>
      </c>
      <c r="C270" t="s">
        <v>79</v>
      </c>
      <c r="D270" t="s">
        <v>74</v>
      </c>
      <c r="E270" s="1">
        <v>45454</v>
      </c>
      <c r="F270" s="1">
        <v>45901</v>
      </c>
      <c r="G270" t="s">
        <v>35</v>
      </c>
      <c r="H270" t="s">
        <v>46</v>
      </c>
      <c r="I270" t="s">
        <v>29</v>
      </c>
      <c r="J270" t="s">
        <v>504</v>
      </c>
      <c r="K270" t="s">
        <v>25</v>
      </c>
      <c r="L270" t="s">
        <v>48</v>
      </c>
      <c r="M270">
        <v>27</v>
      </c>
      <c r="N270">
        <v>0.08</v>
      </c>
      <c r="O270">
        <v>9702</v>
      </c>
      <c r="P270">
        <v>0</v>
      </c>
      <c r="Q270">
        <v>0</v>
      </c>
    </row>
    <row r="271" spans="1:17" x14ac:dyDescent="0.55000000000000004">
      <c r="A271" t="s">
        <v>501</v>
      </c>
      <c r="B271" t="s">
        <v>502</v>
      </c>
      <c r="C271" t="s">
        <v>79</v>
      </c>
      <c r="D271" t="s">
        <v>91</v>
      </c>
      <c r="E271" s="1">
        <v>45454</v>
      </c>
      <c r="F271" s="1">
        <v>45951</v>
      </c>
      <c r="G271" t="s">
        <v>35</v>
      </c>
      <c r="H271" t="s">
        <v>28</v>
      </c>
      <c r="I271" t="s">
        <v>33</v>
      </c>
      <c r="J271" t="s">
        <v>505</v>
      </c>
      <c r="K271" t="s">
        <v>25</v>
      </c>
      <c r="L271" t="s">
        <v>26</v>
      </c>
      <c r="M271">
        <v>21</v>
      </c>
      <c r="N271">
        <v>0.96</v>
      </c>
      <c r="O271">
        <v>8975</v>
      </c>
      <c r="P271">
        <v>0</v>
      </c>
      <c r="Q271">
        <v>0</v>
      </c>
    </row>
    <row r="272" spans="1:17" x14ac:dyDescent="0.55000000000000004">
      <c r="A272" t="s">
        <v>506</v>
      </c>
      <c r="B272" t="s">
        <v>507</v>
      </c>
      <c r="C272" t="s">
        <v>19</v>
      </c>
      <c r="D272" t="s">
        <v>67</v>
      </c>
      <c r="E272" s="1">
        <v>45434</v>
      </c>
      <c r="F272" s="1">
        <v>45467</v>
      </c>
      <c r="G272" t="s">
        <v>95</v>
      </c>
      <c r="H272" t="s">
        <v>28</v>
      </c>
      <c r="I272" t="s">
        <v>23</v>
      </c>
      <c r="J272" t="s">
        <v>508</v>
      </c>
      <c r="K272" t="s">
        <v>35</v>
      </c>
      <c r="L272" t="s">
        <v>26</v>
      </c>
      <c r="M272">
        <v>23</v>
      </c>
      <c r="N272">
        <v>1</v>
      </c>
      <c r="O272">
        <v>7491</v>
      </c>
      <c r="P272">
        <v>7138</v>
      </c>
      <c r="Q272">
        <v>0.95287678547590438</v>
      </c>
    </row>
    <row r="273" spans="1:17" x14ac:dyDescent="0.55000000000000004">
      <c r="A273" t="s">
        <v>506</v>
      </c>
      <c r="B273" t="s">
        <v>507</v>
      </c>
      <c r="C273" t="s">
        <v>19</v>
      </c>
      <c r="D273" t="s">
        <v>67</v>
      </c>
      <c r="E273" s="1">
        <v>45434</v>
      </c>
      <c r="F273" s="1">
        <v>45729</v>
      </c>
      <c r="G273" t="s">
        <v>95</v>
      </c>
      <c r="H273" t="s">
        <v>22</v>
      </c>
      <c r="I273" t="s">
        <v>29</v>
      </c>
      <c r="J273" t="s">
        <v>509</v>
      </c>
      <c r="K273" t="s">
        <v>42</v>
      </c>
      <c r="L273" t="s">
        <v>107</v>
      </c>
      <c r="M273">
        <v>22</v>
      </c>
      <c r="N273">
        <v>0.92</v>
      </c>
      <c r="O273">
        <v>4013</v>
      </c>
      <c r="P273">
        <v>0</v>
      </c>
      <c r="Q273">
        <v>0</v>
      </c>
    </row>
    <row r="274" spans="1:17" x14ac:dyDescent="0.55000000000000004">
      <c r="A274" t="s">
        <v>506</v>
      </c>
      <c r="B274" t="s">
        <v>507</v>
      </c>
      <c r="C274" t="s">
        <v>19</v>
      </c>
      <c r="D274" t="s">
        <v>43</v>
      </c>
      <c r="E274" s="1">
        <v>45434</v>
      </c>
      <c r="F274" s="1">
        <v>45737</v>
      </c>
      <c r="G274" t="s">
        <v>95</v>
      </c>
      <c r="H274" t="s">
        <v>46</v>
      </c>
      <c r="I274" t="s">
        <v>33</v>
      </c>
      <c r="J274" t="s">
        <v>510</v>
      </c>
      <c r="K274" t="s">
        <v>42</v>
      </c>
      <c r="L274" t="s">
        <v>107</v>
      </c>
      <c r="M274">
        <v>33</v>
      </c>
      <c r="N274">
        <v>0.64</v>
      </c>
      <c r="O274">
        <v>1670</v>
      </c>
      <c r="P274">
        <v>0</v>
      </c>
      <c r="Q274">
        <v>0</v>
      </c>
    </row>
    <row r="275" spans="1:17" x14ac:dyDescent="0.55000000000000004">
      <c r="A275" t="s">
        <v>511</v>
      </c>
      <c r="B275" t="s">
        <v>512</v>
      </c>
      <c r="C275" t="s">
        <v>38</v>
      </c>
      <c r="D275" t="s">
        <v>45</v>
      </c>
      <c r="E275" s="1">
        <v>45354</v>
      </c>
      <c r="F275" s="1">
        <v>45622</v>
      </c>
      <c r="G275" t="s">
        <v>35</v>
      </c>
      <c r="H275" t="s">
        <v>22</v>
      </c>
      <c r="I275" t="s">
        <v>23</v>
      </c>
      <c r="J275" t="s">
        <v>513</v>
      </c>
      <c r="K275" t="s">
        <v>42</v>
      </c>
      <c r="L275" t="s">
        <v>107</v>
      </c>
      <c r="M275">
        <v>22</v>
      </c>
      <c r="N275">
        <v>0.04</v>
      </c>
      <c r="O275">
        <v>6004</v>
      </c>
      <c r="P275">
        <v>0</v>
      </c>
      <c r="Q275">
        <v>0</v>
      </c>
    </row>
    <row r="276" spans="1:17" x14ac:dyDescent="0.55000000000000004">
      <c r="A276" t="s">
        <v>511</v>
      </c>
      <c r="B276" t="s">
        <v>512</v>
      </c>
      <c r="C276" t="s">
        <v>38</v>
      </c>
      <c r="D276" t="s">
        <v>87</v>
      </c>
      <c r="E276" s="1">
        <v>45354</v>
      </c>
      <c r="F276" s="1">
        <v>45560</v>
      </c>
      <c r="G276" t="s">
        <v>35</v>
      </c>
      <c r="H276" t="s">
        <v>22</v>
      </c>
      <c r="I276" t="s">
        <v>29</v>
      </c>
      <c r="J276" t="s">
        <v>514</v>
      </c>
      <c r="K276" t="s">
        <v>35</v>
      </c>
      <c r="L276" t="s">
        <v>31</v>
      </c>
      <c r="M276">
        <v>13</v>
      </c>
      <c r="N276">
        <v>1</v>
      </c>
      <c r="O276">
        <v>9649</v>
      </c>
      <c r="P276">
        <v>9485</v>
      </c>
      <c r="Q276">
        <v>0.98300342004352781</v>
      </c>
    </row>
    <row r="277" spans="1:17" x14ac:dyDescent="0.55000000000000004">
      <c r="A277" t="s">
        <v>511</v>
      </c>
      <c r="B277" t="s">
        <v>512</v>
      </c>
      <c r="C277" t="s">
        <v>38</v>
      </c>
      <c r="D277" t="s">
        <v>91</v>
      </c>
      <c r="E277" s="1">
        <v>45354</v>
      </c>
      <c r="F277" s="1">
        <v>45560</v>
      </c>
      <c r="G277" t="s">
        <v>35</v>
      </c>
      <c r="H277" t="s">
        <v>28</v>
      </c>
      <c r="I277" t="s">
        <v>33</v>
      </c>
      <c r="J277" t="s">
        <v>515</v>
      </c>
      <c r="K277" t="s">
        <v>35</v>
      </c>
      <c r="L277" t="s">
        <v>179</v>
      </c>
      <c r="M277">
        <v>11</v>
      </c>
      <c r="N277">
        <v>1</v>
      </c>
      <c r="O277">
        <v>5921</v>
      </c>
      <c r="P277">
        <v>5788</v>
      </c>
      <c r="Q277">
        <v>0.97753757811180542</v>
      </c>
    </row>
    <row r="278" spans="1:17" x14ac:dyDescent="0.55000000000000004">
      <c r="A278" t="s">
        <v>516</v>
      </c>
      <c r="B278" t="s">
        <v>517</v>
      </c>
      <c r="C278" t="s">
        <v>51</v>
      </c>
      <c r="D278" t="s">
        <v>54</v>
      </c>
      <c r="E278" s="1">
        <v>45523</v>
      </c>
      <c r="F278" s="1">
        <v>45556</v>
      </c>
      <c r="G278" t="s">
        <v>35</v>
      </c>
      <c r="H278" t="s">
        <v>46</v>
      </c>
      <c r="I278" t="s">
        <v>23</v>
      </c>
      <c r="J278" t="s">
        <v>518</v>
      </c>
      <c r="K278" t="s">
        <v>35</v>
      </c>
      <c r="L278" t="s">
        <v>48</v>
      </c>
      <c r="M278">
        <v>40</v>
      </c>
      <c r="N278">
        <v>1</v>
      </c>
      <c r="O278">
        <v>4306</v>
      </c>
      <c r="P278">
        <v>3888</v>
      </c>
      <c r="Q278">
        <v>0.90292614955875528</v>
      </c>
    </row>
    <row r="279" spans="1:17" x14ac:dyDescent="0.55000000000000004">
      <c r="A279" t="s">
        <v>516</v>
      </c>
      <c r="B279" t="s">
        <v>517</v>
      </c>
      <c r="C279" t="s">
        <v>51</v>
      </c>
      <c r="D279" t="s">
        <v>87</v>
      </c>
      <c r="E279" s="1">
        <v>45523</v>
      </c>
      <c r="F279" s="1">
        <v>45766</v>
      </c>
      <c r="G279" t="s">
        <v>35</v>
      </c>
      <c r="H279" t="s">
        <v>46</v>
      </c>
      <c r="I279" t="s">
        <v>29</v>
      </c>
      <c r="J279" t="s">
        <v>519</v>
      </c>
      <c r="K279" t="s">
        <v>25</v>
      </c>
      <c r="L279" t="s">
        <v>53</v>
      </c>
      <c r="M279">
        <v>31</v>
      </c>
      <c r="N279">
        <v>0.75</v>
      </c>
      <c r="O279">
        <v>8367</v>
      </c>
      <c r="P279">
        <v>0</v>
      </c>
      <c r="Q279">
        <v>0</v>
      </c>
    </row>
    <row r="280" spans="1:17" x14ac:dyDescent="0.55000000000000004">
      <c r="A280" t="s">
        <v>516</v>
      </c>
      <c r="B280" t="s">
        <v>517</v>
      </c>
      <c r="C280" t="s">
        <v>51</v>
      </c>
      <c r="D280" t="s">
        <v>91</v>
      </c>
      <c r="E280" s="1">
        <v>45523</v>
      </c>
      <c r="F280" s="1">
        <v>45556</v>
      </c>
      <c r="G280" t="s">
        <v>35</v>
      </c>
      <c r="H280" t="s">
        <v>46</v>
      </c>
      <c r="I280" t="s">
        <v>33</v>
      </c>
      <c r="J280" t="s">
        <v>520</v>
      </c>
      <c r="K280" t="s">
        <v>35</v>
      </c>
      <c r="L280" t="s">
        <v>31</v>
      </c>
      <c r="M280">
        <v>0</v>
      </c>
      <c r="N280">
        <v>1</v>
      </c>
      <c r="O280">
        <v>4178</v>
      </c>
      <c r="P280">
        <v>4148</v>
      </c>
      <c r="Q280">
        <v>0.99281953087601726</v>
      </c>
    </row>
    <row r="281" spans="1:17" x14ac:dyDescent="0.55000000000000004">
      <c r="A281" t="s">
        <v>521</v>
      </c>
      <c r="B281" t="s">
        <v>522</v>
      </c>
      <c r="C281" t="s">
        <v>60</v>
      </c>
      <c r="D281" t="s">
        <v>74</v>
      </c>
      <c r="E281" s="1">
        <v>45471</v>
      </c>
      <c r="F281" s="1">
        <v>45571</v>
      </c>
      <c r="G281" t="s">
        <v>21</v>
      </c>
      <c r="H281" t="s">
        <v>28</v>
      </c>
      <c r="I281" t="s">
        <v>23</v>
      </c>
      <c r="J281" t="s">
        <v>523</v>
      </c>
      <c r="K281" t="s">
        <v>25</v>
      </c>
      <c r="L281" t="s">
        <v>53</v>
      </c>
      <c r="M281">
        <v>13</v>
      </c>
      <c r="N281">
        <v>0.44</v>
      </c>
      <c r="O281">
        <v>1773</v>
      </c>
      <c r="P281">
        <v>0</v>
      </c>
      <c r="Q281">
        <v>0</v>
      </c>
    </row>
    <row r="282" spans="1:17" x14ac:dyDescent="0.55000000000000004">
      <c r="A282" t="s">
        <v>521</v>
      </c>
      <c r="B282" t="s">
        <v>522</v>
      </c>
      <c r="C282" t="s">
        <v>60</v>
      </c>
      <c r="D282" t="s">
        <v>87</v>
      </c>
      <c r="E282" s="1">
        <v>45471</v>
      </c>
      <c r="F282" s="1">
        <v>45564</v>
      </c>
      <c r="G282" t="s">
        <v>21</v>
      </c>
      <c r="H282" t="s">
        <v>28</v>
      </c>
      <c r="I282" t="s">
        <v>29</v>
      </c>
      <c r="J282" t="s">
        <v>524</v>
      </c>
      <c r="K282" t="s">
        <v>25</v>
      </c>
      <c r="L282" t="s">
        <v>81</v>
      </c>
      <c r="M282">
        <v>20</v>
      </c>
      <c r="N282">
        <v>0.42</v>
      </c>
      <c r="O282">
        <v>7829</v>
      </c>
      <c r="P282">
        <v>0</v>
      </c>
      <c r="Q282">
        <v>0</v>
      </c>
    </row>
    <row r="283" spans="1:17" x14ac:dyDescent="0.55000000000000004">
      <c r="A283" t="s">
        <v>521</v>
      </c>
      <c r="B283" t="s">
        <v>522</v>
      </c>
      <c r="C283" t="s">
        <v>60</v>
      </c>
      <c r="D283" t="s">
        <v>54</v>
      </c>
      <c r="E283" s="1">
        <v>45471</v>
      </c>
      <c r="F283" s="1">
        <v>45558</v>
      </c>
      <c r="G283" t="s">
        <v>21</v>
      </c>
      <c r="H283" t="s">
        <v>22</v>
      </c>
      <c r="I283" t="s">
        <v>33</v>
      </c>
      <c r="J283" t="s">
        <v>525</v>
      </c>
      <c r="K283" t="s">
        <v>25</v>
      </c>
      <c r="L283" t="s">
        <v>31</v>
      </c>
      <c r="M283">
        <v>39</v>
      </c>
      <c r="N283">
        <v>0.37</v>
      </c>
      <c r="O283">
        <v>1447</v>
      </c>
      <c r="P283">
        <v>3357</v>
      </c>
      <c r="Q283">
        <v>2.3199723565998616</v>
      </c>
    </row>
    <row r="284" spans="1:17" x14ac:dyDescent="0.55000000000000004">
      <c r="A284" t="s">
        <v>526</v>
      </c>
      <c r="B284" t="s">
        <v>527</v>
      </c>
      <c r="C284" t="s">
        <v>66</v>
      </c>
      <c r="D284" t="s">
        <v>32</v>
      </c>
      <c r="E284" s="1">
        <v>45339</v>
      </c>
      <c r="F284" s="1">
        <v>45506</v>
      </c>
      <c r="G284" t="s">
        <v>21</v>
      </c>
      <c r="H284" t="s">
        <v>22</v>
      </c>
      <c r="I284" t="s">
        <v>23</v>
      </c>
      <c r="J284" t="s">
        <v>528</v>
      </c>
      <c r="K284" t="s">
        <v>42</v>
      </c>
      <c r="L284" t="s">
        <v>107</v>
      </c>
      <c r="M284">
        <v>24</v>
      </c>
      <c r="N284">
        <v>0.81</v>
      </c>
      <c r="O284">
        <v>8329</v>
      </c>
      <c r="P284">
        <v>0</v>
      </c>
      <c r="Q284">
        <v>0</v>
      </c>
    </row>
    <row r="285" spans="1:17" x14ac:dyDescent="0.55000000000000004">
      <c r="A285" t="s">
        <v>526</v>
      </c>
      <c r="B285" t="s">
        <v>527</v>
      </c>
      <c r="C285" t="s">
        <v>66</v>
      </c>
      <c r="D285" t="s">
        <v>87</v>
      </c>
      <c r="E285" s="1">
        <v>45339</v>
      </c>
      <c r="F285" s="1">
        <v>45472</v>
      </c>
      <c r="G285" t="s">
        <v>21</v>
      </c>
      <c r="H285" t="s">
        <v>46</v>
      </c>
      <c r="I285" t="s">
        <v>29</v>
      </c>
      <c r="J285" t="s">
        <v>529</v>
      </c>
      <c r="K285" t="s">
        <v>25</v>
      </c>
      <c r="L285" t="s">
        <v>53</v>
      </c>
      <c r="M285">
        <v>34</v>
      </c>
      <c r="N285">
        <v>0.97</v>
      </c>
      <c r="O285">
        <v>6160</v>
      </c>
      <c r="P285">
        <v>0</v>
      </c>
      <c r="Q285">
        <v>0</v>
      </c>
    </row>
    <row r="286" spans="1:17" x14ac:dyDescent="0.55000000000000004">
      <c r="A286" t="s">
        <v>526</v>
      </c>
      <c r="B286" t="s">
        <v>527</v>
      </c>
      <c r="C286" t="s">
        <v>66</v>
      </c>
      <c r="D286" t="s">
        <v>27</v>
      </c>
      <c r="E286" s="1">
        <v>45339</v>
      </c>
      <c r="F286" s="1">
        <v>45500</v>
      </c>
      <c r="G286" t="s">
        <v>21</v>
      </c>
      <c r="H286" t="s">
        <v>28</v>
      </c>
      <c r="I286" t="s">
        <v>33</v>
      </c>
      <c r="J286" t="s">
        <v>530</v>
      </c>
      <c r="K286" t="s">
        <v>25</v>
      </c>
      <c r="L286" t="s">
        <v>31</v>
      </c>
      <c r="M286">
        <v>7</v>
      </c>
      <c r="N286">
        <v>0.57999999999999996</v>
      </c>
      <c r="O286">
        <v>6083</v>
      </c>
      <c r="P286">
        <v>0</v>
      </c>
      <c r="Q286">
        <v>0</v>
      </c>
    </row>
    <row r="287" spans="1:17" x14ac:dyDescent="0.55000000000000004">
      <c r="A287" t="s">
        <v>531</v>
      </c>
      <c r="B287" t="s">
        <v>532</v>
      </c>
      <c r="C287" t="s">
        <v>19</v>
      </c>
      <c r="D287" t="s">
        <v>91</v>
      </c>
      <c r="E287" s="1">
        <v>45354</v>
      </c>
      <c r="F287" s="1">
        <v>45783</v>
      </c>
      <c r="G287" t="s">
        <v>40</v>
      </c>
      <c r="H287" t="s">
        <v>46</v>
      </c>
      <c r="I287" t="s">
        <v>23</v>
      </c>
      <c r="J287" t="s">
        <v>533</v>
      </c>
      <c r="K287" t="s">
        <v>42</v>
      </c>
      <c r="L287" t="s">
        <v>48</v>
      </c>
      <c r="M287">
        <v>17</v>
      </c>
      <c r="N287">
        <v>0.69</v>
      </c>
      <c r="O287">
        <v>1235</v>
      </c>
      <c r="P287">
        <v>0</v>
      </c>
      <c r="Q287">
        <v>0</v>
      </c>
    </row>
    <row r="288" spans="1:17" x14ac:dyDescent="0.55000000000000004">
      <c r="A288" t="s">
        <v>531</v>
      </c>
      <c r="B288" t="s">
        <v>532</v>
      </c>
      <c r="C288" t="s">
        <v>19</v>
      </c>
      <c r="D288" t="s">
        <v>87</v>
      </c>
      <c r="E288" s="1">
        <v>45354</v>
      </c>
      <c r="F288" s="1">
        <v>45662</v>
      </c>
      <c r="G288" t="s">
        <v>40</v>
      </c>
      <c r="H288" t="s">
        <v>22</v>
      </c>
      <c r="I288" t="s">
        <v>29</v>
      </c>
      <c r="J288" t="s">
        <v>534</v>
      </c>
      <c r="K288" t="s">
        <v>25</v>
      </c>
      <c r="L288" t="s">
        <v>56</v>
      </c>
      <c r="M288">
        <v>20</v>
      </c>
      <c r="N288">
        <v>0.08</v>
      </c>
      <c r="O288">
        <v>2984</v>
      </c>
      <c r="P288">
        <v>6060</v>
      </c>
      <c r="Q288">
        <v>2.0308310991957104</v>
      </c>
    </row>
    <row r="289" spans="1:17" x14ac:dyDescent="0.55000000000000004">
      <c r="A289" t="s">
        <v>531</v>
      </c>
      <c r="B289" t="s">
        <v>532</v>
      </c>
      <c r="C289" t="s">
        <v>19</v>
      </c>
      <c r="D289" t="s">
        <v>32</v>
      </c>
      <c r="E289" s="1">
        <v>45354</v>
      </c>
      <c r="F289" s="1">
        <v>45725</v>
      </c>
      <c r="G289" t="s">
        <v>40</v>
      </c>
      <c r="H289" t="s">
        <v>28</v>
      </c>
      <c r="I289" t="s">
        <v>33</v>
      </c>
      <c r="J289" t="s">
        <v>535</v>
      </c>
      <c r="K289" t="s">
        <v>42</v>
      </c>
      <c r="L289" t="s">
        <v>81</v>
      </c>
      <c r="M289">
        <v>32</v>
      </c>
      <c r="N289">
        <v>0.92</v>
      </c>
      <c r="O289">
        <v>5211</v>
      </c>
      <c r="P289">
        <v>0</v>
      </c>
      <c r="Q289">
        <v>0</v>
      </c>
    </row>
    <row r="290" spans="1:17" x14ac:dyDescent="0.55000000000000004">
      <c r="A290" t="s">
        <v>536</v>
      </c>
      <c r="B290" t="s">
        <v>537</v>
      </c>
      <c r="C290" t="s">
        <v>79</v>
      </c>
      <c r="D290" t="s">
        <v>89</v>
      </c>
      <c r="E290" s="1">
        <v>45451</v>
      </c>
      <c r="F290" s="1">
        <v>45634</v>
      </c>
      <c r="G290" t="s">
        <v>21</v>
      </c>
      <c r="H290" t="s">
        <v>28</v>
      </c>
      <c r="I290" t="s">
        <v>23</v>
      </c>
      <c r="J290" t="s">
        <v>538</v>
      </c>
      <c r="K290" t="s">
        <v>42</v>
      </c>
      <c r="L290" t="s">
        <v>81</v>
      </c>
      <c r="M290">
        <v>9</v>
      </c>
      <c r="N290">
        <v>0.5</v>
      </c>
      <c r="O290">
        <v>6292</v>
      </c>
      <c r="P290">
        <v>0</v>
      </c>
      <c r="Q290">
        <v>0</v>
      </c>
    </row>
    <row r="291" spans="1:17" x14ac:dyDescent="0.55000000000000004">
      <c r="A291" t="s">
        <v>536</v>
      </c>
      <c r="B291" t="s">
        <v>537</v>
      </c>
      <c r="C291" t="s">
        <v>79</v>
      </c>
      <c r="D291" t="s">
        <v>82</v>
      </c>
      <c r="E291" s="1">
        <v>45451</v>
      </c>
      <c r="F291" s="1">
        <v>45724</v>
      </c>
      <c r="G291" t="s">
        <v>21</v>
      </c>
      <c r="H291" t="s">
        <v>22</v>
      </c>
      <c r="I291" t="s">
        <v>29</v>
      </c>
      <c r="J291" t="s">
        <v>539</v>
      </c>
      <c r="K291" t="s">
        <v>42</v>
      </c>
      <c r="L291" t="s">
        <v>53</v>
      </c>
      <c r="M291">
        <v>17</v>
      </c>
      <c r="N291">
        <v>0.2</v>
      </c>
      <c r="O291">
        <v>2335</v>
      </c>
      <c r="P291">
        <v>0</v>
      </c>
      <c r="Q291">
        <v>0</v>
      </c>
    </row>
    <row r="292" spans="1:17" x14ac:dyDescent="0.55000000000000004">
      <c r="A292" t="s">
        <v>536</v>
      </c>
      <c r="B292" t="s">
        <v>537</v>
      </c>
      <c r="C292" t="s">
        <v>79</v>
      </c>
      <c r="D292" t="s">
        <v>54</v>
      </c>
      <c r="E292" s="1">
        <v>45451</v>
      </c>
      <c r="F292" s="1">
        <v>45647</v>
      </c>
      <c r="G292" t="s">
        <v>21</v>
      </c>
      <c r="H292" t="s">
        <v>28</v>
      </c>
      <c r="I292" t="s">
        <v>33</v>
      </c>
      <c r="J292" t="s">
        <v>540</v>
      </c>
      <c r="K292" t="s">
        <v>42</v>
      </c>
      <c r="L292" t="s">
        <v>81</v>
      </c>
      <c r="M292">
        <v>32</v>
      </c>
      <c r="N292">
        <v>0.66</v>
      </c>
      <c r="O292">
        <v>3956</v>
      </c>
      <c r="P292">
        <v>0</v>
      </c>
      <c r="Q292">
        <v>0</v>
      </c>
    </row>
    <row r="293" spans="1:17" x14ac:dyDescent="0.55000000000000004">
      <c r="A293" t="s">
        <v>541</v>
      </c>
      <c r="B293" t="s">
        <v>542</v>
      </c>
      <c r="C293" t="s">
        <v>51</v>
      </c>
      <c r="D293" t="s">
        <v>87</v>
      </c>
      <c r="E293" s="1">
        <v>45519</v>
      </c>
      <c r="F293" s="1">
        <v>45680</v>
      </c>
      <c r="G293" t="s">
        <v>35</v>
      </c>
      <c r="H293" t="s">
        <v>22</v>
      </c>
      <c r="I293" t="s">
        <v>23</v>
      </c>
      <c r="J293" t="s">
        <v>543</v>
      </c>
      <c r="K293" t="s">
        <v>25</v>
      </c>
      <c r="L293" t="s">
        <v>48</v>
      </c>
      <c r="M293">
        <v>12</v>
      </c>
      <c r="N293">
        <v>0.67</v>
      </c>
      <c r="O293">
        <v>8906</v>
      </c>
      <c r="P293">
        <v>0</v>
      </c>
      <c r="Q293">
        <v>0</v>
      </c>
    </row>
    <row r="294" spans="1:17" x14ac:dyDescent="0.55000000000000004">
      <c r="A294" t="s">
        <v>541</v>
      </c>
      <c r="B294" t="s">
        <v>542</v>
      </c>
      <c r="C294" t="s">
        <v>51</v>
      </c>
      <c r="D294" t="s">
        <v>20</v>
      </c>
      <c r="E294" s="1">
        <v>45519</v>
      </c>
      <c r="F294" s="1">
        <v>45685</v>
      </c>
      <c r="G294" t="s">
        <v>35</v>
      </c>
      <c r="H294" t="s">
        <v>22</v>
      </c>
      <c r="I294" t="s">
        <v>29</v>
      </c>
      <c r="J294" t="s">
        <v>544</v>
      </c>
      <c r="K294" t="s">
        <v>42</v>
      </c>
      <c r="L294" t="s">
        <v>31</v>
      </c>
      <c r="M294">
        <v>25</v>
      </c>
      <c r="N294">
        <v>0.83</v>
      </c>
      <c r="O294">
        <v>8346</v>
      </c>
      <c r="P294">
        <v>0</v>
      </c>
      <c r="Q294">
        <v>0</v>
      </c>
    </row>
    <row r="295" spans="1:17" x14ac:dyDescent="0.55000000000000004">
      <c r="A295" t="s">
        <v>541</v>
      </c>
      <c r="B295" t="s">
        <v>542</v>
      </c>
      <c r="C295" t="s">
        <v>51</v>
      </c>
      <c r="D295" t="s">
        <v>67</v>
      </c>
      <c r="E295" s="1">
        <v>45519</v>
      </c>
      <c r="F295" s="1">
        <v>45774</v>
      </c>
      <c r="G295" t="s">
        <v>35</v>
      </c>
      <c r="H295" t="s">
        <v>28</v>
      </c>
      <c r="I295" t="s">
        <v>33</v>
      </c>
      <c r="J295" t="s">
        <v>545</v>
      </c>
      <c r="K295" t="s">
        <v>25</v>
      </c>
      <c r="L295" t="s">
        <v>31</v>
      </c>
      <c r="M295">
        <v>20</v>
      </c>
      <c r="N295">
        <v>0.3</v>
      </c>
      <c r="O295">
        <v>5134</v>
      </c>
      <c r="P295">
        <v>0</v>
      </c>
      <c r="Q295">
        <v>0</v>
      </c>
    </row>
    <row r="296" spans="1:17" x14ac:dyDescent="0.55000000000000004">
      <c r="A296" t="s">
        <v>546</v>
      </c>
      <c r="B296" t="s">
        <v>547</v>
      </c>
      <c r="C296" t="s">
        <v>79</v>
      </c>
      <c r="D296" t="s">
        <v>27</v>
      </c>
      <c r="E296" s="1">
        <v>45443</v>
      </c>
      <c r="F296" s="1">
        <v>45648</v>
      </c>
      <c r="G296" t="s">
        <v>35</v>
      </c>
      <c r="H296" t="s">
        <v>22</v>
      </c>
      <c r="I296" t="s">
        <v>23</v>
      </c>
      <c r="J296" t="s">
        <v>548</v>
      </c>
      <c r="K296" t="s">
        <v>42</v>
      </c>
      <c r="L296" t="s">
        <v>31</v>
      </c>
      <c r="M296">
        <v>7</v>
      </c>
      <c r="N296">
        <v>0.14000000000000001</v>
      </c>
      <c r="O296">
        <v>7307</v>
      </c>
      <c r="P296">
        <v>0</v>
      </c>
      <c r="Q296">
        <v>0</v>
      </c>
    </row>
    <row r="297" spans="1:17" x14ac:dyDescent="0.55000000000000004">
      <c r="A297" t="s">
        <v>546</v>
      </c>
      <c r="B297" t="s">
        <v>547</v>
      </c>
      <c r="C297" t="s">
        <v>79</v>
      </c>
      <c r="D297" t="s">
        <v>43</v>
      </c>
      <c r="E297" s="1">
        <v>45443</v>
      </c>
      <c r="F297" s="1">
        <v>45717</v>
      </c>
      <c r="G297" t="s">
        <v>35</v>
      </c>
      <c r="H297" t="s">
        <v>28</v>
      </c>
      <c r="I297" t="s">
        <v>29</v>
      </c>
      <c r="J297" t="s">
        <v>549</v>
      </c>
      <c r="K297" t="s">
        <v>42</v>
      </c>
      <c r="L297" t="s">
        <v>81</v>
      </c>
      <c r="M297">
        <v>5</v>
      </c>
      <c r="N297">
        <v>0.36</v>
      </c>
      <c r="O297">
        <v>9425</v>
      </c>
      <c r="P297">
        <v>0</v>
      </c>
      <c r="Q297">
        <v>0</v>
      </c>
    </row>
    <row r="298" spans="1:17" x14ac:dyDescent="0.55000000000000004">
      <c r="A298" t="s">
        <v>546</v>
      </c>
      <c r="B298" t="s">
        <v>547</v>
      </c>
      <c r="C298" t="s">
        <v>79</v>
      </c>
      <c r="D298" t="s">
        <v>82</v>
      </c>
      <c r="E298" s="1">
        <v>45443</v>
      </c>
      <c r="F298" s="1">
        <v>45727</v>
      </c>
      <c r="G298" t="s">
        <v>35</v>
      </c>
      <c r="H298" t="s">
        <v>28</v>
      </c>
      <c r="I298" t="s">
        <v>33</v>
      </c>
      <c r="J298" t="s">
        <v>550</v>
      </c>
      <c r="K298" t="s">
        <v>42</v>
      </c>
      <c r="L298" t="s">
        <v>107</v>
      </c>
      <c r="M298">
        <v>19</v>
      </c>
      <c r="N298">
        <v>0.91</v>
      </c>
      <c r="O298">
        <v>5199</v>
      </c>
      <c r="P298">
        <v>0</v>
      </c>
      <c r="Q298">
        <v>0</v>
      </c>
    </row>
    <row r="299" spans="1:17" x14ac:dyDescent="0.55000000000000004">
      <c r="A299" t="s">
        <v>551</v>
      </c>
      <c r="B299" t="s">
        <v>552</v>
      </c>
      <c r="C299" t="s">
        <v>79</v>
      </c>
      <c r="D299" t="s">
        <v>54</v>
      </c>
      <c r="E299" s="1">
        <v>45512</v>
      </c>
      <c r="F299" s="1">
        <v>45537</v>
      </c>
      <c r="G299" t="s">
        <v>40</v>
      </c>
      <c r="H299" t="s">
        <v>22</v>
      </c>
      <c r="I299" t="s">
        <v>23</v>
      </c>
      <c r="J299" t="s">
        <v>553</v>
      </c>
      <c r="K299" t="s">
        <v>42</v>
      </c>
      <c r="L299" t="s">
        <v>31</v>
      </c>
      <c r="M299">
        <v>30</v>
      </c>
      <c r="N299">
        <v>0.85</v>
      </c>
      <c r="O299">
        <v>2156</v>
      </c>
      <c r="P299">
        <v>0</v>
      </c>
      <c r="Q299">
        <v>0</v>
      </c>
    </row>
    <row r="300" spans="1:17" x14ac:dyDescent="0.55000000000000004">
      <c r="A300" t="s">
        <v>551</v>
      </c>
      <c r="B300" t="s">
        <v>552</v>
      </c>
      <c r="C300" t="s">
        <v>79</v>
      </c>
      <c r="D300" t="s">
        <v>39</v>
      </c>
      <c r="E300" s="1">
        <v>45512</v>
      </c>
      <c r="F300" s="1">
        <v>45534</v>
      </c>
      <c r="G300" t="s">
        <v>40</v>
      </c>
      <c r="H300" t="s">
        <v>22</v>
      </c>
      <c r="I300" t="s">
        <v>29</v>
      </c>
      <c r="J300" t="s">
        <v>554</v>
      </c>
      <c r="K300" t="s">
        <v>42</v>
      </c>
      <c r="L300" t="s">
        <v>179</v>
      </c>
      <c r="M300">
        <v>12</v>
      </c>
      <c r="N300">
        <v>0.02</v>
      </c>
      <c r="O300">
        <v>1502</v>
      </c>
      <c r="P300">
        <v>0</v>
      </c>
      <c r="Q300">
        <v>0</v>
      </c>
    </row>
    <row r="301" spans="1:17" x14ac:dyDescent="0.55000000000000004">
      <c r="A301" t="s">
        <v>551</v>
      </c>
      <c r="B301" t="s">
        <v>552</v>
      </c>
      <c r="C301" t="s">
        <v>79</v>
      </c>
      <c r="D301" t="s">
        <v>54</v>
      </c>
      <c r="E301" s="1">
        <v>45512</v>
      </c>
      <c r="F301" s="1">
        <v>45534</v>
      </c>
      <c r="G301" t="s">
        <v>40</v>
      </c>
      <c r="H301" t="s">
        <v>22</v>
      </c>
      <c r="I301" t="s">
        <v>33</v>
      </c>
      <c r="J301" t="s">
        <v>555</v>
      </c>
      <c r="K301" t="s">
        <v>25</v>
      </c>
      <c r="L301" t="s">
        <v>48</v>
      </c>
      <c r="M301">
        <v>38</v>
      </c>
      <c r="N301">
        <v>0.86</v>
      </c>
      <c r="O301">
        <v>8619</v>
      </c>
      <c r="P301">
        <v>0</v>
      </c>
      <c r="Q3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A8F08-A053-4C7E-AAC7-EEDA6C69E767}">
  <dimension ref="A1:S85"/>
  <sheetViews>
    <sheetView workbookViewId="0"/>
    <sheetView workbookViewId="1"/>
  </sheetViews>
  <sheetFormatPr defaultRowHeight="14.4" x14ac:dyDescent="0.55000000000000004"/>
  <cols>
    <col min="1" max="1" width="13.05078125" bestFit="1" customWidth="1"/>
    <col min="2" max="2" width="14.7890625" bestFit="1" customWidth="1"/>
    <col min="3" max="3" width="14.9453125" bestFit="1" customWidth="1"/>
    <col min="4" max="4" width="8.68359375" customWidth="1"/>
    <col min="5" max="5" width="14.9453125" bestFit="1" customWidth="1"/>
    <col min="6" max="6" width="15.734375" bestFit="1" customWidth="1"/>
    <col min="7" max="7" width="10.68359375" bestFit="1" customWidth="1"/>
    <col min="8" max="8" width="8.3125" bestFit="1" customWidth="1"/>
    <col min="9" max="9" width="11.20703125" bestFit="1" customWidth="1"/>
    <col min="10" max="10" width="16.68359375" bestFit="1" customWidth="1"/>
    <col min="11" max="11" width="8.578125" customWidth="1"/>
    <col min="12" max="12" width="9" bestFit="1" customWidth="1"/>
    <col min="13" max="13" width="11.89453125" bestFit="1" customWidth="1"/>
    <col min="14" max="14" width="5.1015625" bestFit="1" customWidth="1"/>
    <col min="15" max="15" width="6.7890625" bestFit="1" customWidth="1"/>
    <col min="16" max="16" width="6.89453125" bestFit="1" customWidth="1"/>
    <col min="17" max="17" width="4.68359375" bestFit="1" customWidth="1"/>
    <col min="18" max="18" width="11.89453125" bestFit="1" customWidth="1"/>
    <col min="19" max="98" width="4.1015625" bestFit="1" customWidth="1"/>
    <col min="99" max="99" width="11.89453125" bestFit="1" customWidth="1"/>
    <col min="100" max="103" width="43.20703125" bestFit="1" customWidth="1"/>
    <col min="104" max="109" width="51.68359375" bestFit="1" customWidth="1"/>
    <col min="110" max="116" width="37.41796875" bestFit="1" customWidth="1"/>
    <col min="117" max="123" width="51.68359375" bestFit="1" customWidth="1"/>
    <col min="124" max="130" width="39.5234375" bestFit="1" customWidth="1"/>
    <col min="131" max="136" width="35" bestFit="1" customWidth="1"/>
    <col min="137" max="143" width="50.20703125" bestFit="1" customWidth="1"/>
    <col min="144" max="150" width="49.3125" bestFit="1" customWidth="1"/>
    <col min="151" max="157" width="43.1015625" bestFit="1" customWidth="1"/>
    <col min="158" max="164" width="44.7890625" bestFit="1" customWidth="1"/>
    <col min="165" max="171" width="45.1015625" bestFit="1" customWidth="1"/>
    <col min="172" max="177" width="44.20703125" bestFit="1" customWidth="1"/>
    <col min="178" max="184" width="42.20703125" bestFit="1" customWidth="1"/>
    <col min="185" max="191" width="35.89453125" bestFit="1" customWidth="1"/>
    <col min="192" max="197" width="45" bestFit="1" customWidth="1"/>
    <col min="198" max="203" width="43.20703125" bestFit="1" customWidth="1"/>
    <col min="204" max="209" width="51.68359375" bestFit="1" customWidth="1"/>
    <col min="210" max="216" width="37.41796875" bestFit="1" customWidth="1"/>
    <col min="217" max="223" width="51.68359375" bestFit="1" customWidth="1"/>
    <col min="224" max="230" width="39.5234375" bestFit="1" customWidth="1"/>
    <col min="231" max="236" width="35" bestFit="1" customWidth="1"/>
    <col min="237" max="243" width="50.20703125" bestFit="1" customWidth="1"/>
    <col min="244" max="250" width="49.3125" bestFit="1" customWidth="1"/>
    <col min="251" max="257" width="43.1015625" bestFit="1" customWidth="1"/>
    <col min="258" max="264" width="44.7890625" bestFit="1" customWidth="1"/>
    <col min="265" max="271" width="45.1015625" bestFit="1" customWidth="1"/>
    <col min="272" max="277" width="44.20703125" bestFit="1" customWidth="1"/>
    <col min="278" max="284" width="42.20703125" bestFit="1" customWidth="1"/>
    <col min="285" max="291" width="35.89453125" bestFit="1" customWidth="1"/>
    <col min="292" max="297" width="45" bestFit="1" customWidth="1"/>
    <col min="298" max="303" width="43.20703125" bestFit="1" customWidth="1"/>
    <col min="304" max="309" width="51.68359375" bestFit="1" customWidth="1"/>
    <col min="310" max="310" width="11.89453125" bestFit="1" customWidth="1"/>
  </cols>
  <sheetData>
    <row r="1" spans="1:19" ht="28.8" customHeight="1" x14ac:dyDescent="0.55000000000000004">
      <c r="G1" s="15" t="s">
        <v>557</v>
      </c>
      <c r="H1" s="2"/>
      <c r="I1" s="14"/>
      <c r="J1" s="10" t="s">
        <v>584</v>
      </c>
      <c r="K1" s="10"/>
    </row>
    <row r="2" spans="1:19" x14ac:dyDescent="0.55000000000000004">
      <c r="A2" t="s">
        <v>556</v>
      </c>
      <c r="C2" s="3" t="s">
        <v>588</v>
      </c>
      <c r="G2" t="s">
        <v>558</v>
      </c>
      <c r="H2">
        <f>GETPIVOTDATA("Project ID",$A$2)</f>
        <v>54</v>
      </c>
      <c r="J2" t="s">
        <v>571</v>
      </c>
      <c r="K2">
        <f>GETPIVOTDATA("Task ID",$C$2)</f>
        <v>54</v>
      </c>
    </row>
    <row r="3" spans="1:19" x14ac:dyDescent="0.55000000000000004">
      <c r="A3">
        <v>54</v>
      </c>
      <c r="C3">
        <v>54</v>
      </c>
      <c r="G3" t="s">
        <v>559</v>
      </c>
      <c r="H3" s="7">
        <f>GETPIVOTDATA("Sum of Budget",$A$5)</f>
        <v>336554</v>
      </c>
      <c r="J3" t="s">
        <v>585</v>
      </c>
      <c r="K3" s="24">
        <v>87</v>
      </c>
    </row>
    <row r="4" spans="1:19" x14ac:dyDescent="0.55000000000000004">
      <c r="G4" t="s">
        <v>560</v>
      </c>
      <c r="H4" s="8">
        <f>GETPIVOTDATA("Sum of Actual Cost",$A$5)</f>
        <v>100465</v>
      </c>
      <c r="J4" t="s">
        <v>586</v>
      </c>
      <c r="K4">
        <f>GETPIVOTDATA("Hours Spent",$C$5)</f>
        <v>5763</v>
      </c>
    </row>
    <row r="5" spans="1:19" x14ac:dyDescent="0.55000000000000004">
      <c r="A5" s="3" t="s">
        <v>562</v>
      </c>
      <c r="B5" s="3" t="s">
        <v>563</v>
      </c>
      <c r="C5" s="3" t="s">
        <v>589</v>
      </c>
      <c r="G5" t="s">
        <v>561</v>
      </c>
      <c r="H5" s="4">
        <f>H4/H3</f>
        <v>0.29851078875901044</v>
      </c>
      <c r="J5" t="s">
        <v>587</v>
      </c>
      <c r="K5" s="23">
        <f>COMPLETED/TASKS</f>
        <v>1.6111111111111112</v>
      </c>
    </row>
    <row r="6" spans="1:19" x14ac:dyDescent="0.55000000000000004">
      <c r="A6" s="3">
        <v>336554</v>
      </c>
      <c r="B6" s="3">
        <v>100465</v>
      </c>
      <c r="C6">
        <v>5763</v>
      </c>
    </row>
    <row r="8" spans="1:19" x14ac:dyDescent="0.55000000000000004">
      <c r="A8" t="s">
        <v>566</v>
      </c>
      <c r="E8" t="s">
        <v>568</v>
      </c>
    </row>
    <row r="9" spans="1:19" x14ac:dyDescent="0.55000000000000004">
      <c r="A9" s="5" t="s">
        <v>564</v>
      </c>
      <c r="B9" s="3" t="s">
        <v>556</v>
      </c>
      <c r="E9" s="5" t="s">
        <v>564</v>
      </c>
      <c r="F9" s="3" t="s">
        <v>556</v>
      </c>
    </row>
    <row r="10" spans="1:19" x14ac:dyDescent="0.55000000000000004">
      <c r="A10" s="6" t="s">
        <v>66</v>
      </c>
      <c r="B10">
        <v>2</v>
      </c>
      <c r="E10" s="6" t="s">
        <v>28</v>
      </c>
      <c r="F10">
        <v>27</v>
      </c>
    </row>
    <row r="11" spans="1:19" x14ac:dyDescent="0.55000000000000004">
      <c r="A11" s="6" t="s">
        <v>38</v>
      </c>
      <c r="B11">
        <v>2</v>
      </c>
      <c r="E11" s="6" t="s">
        <v>46</v>
      </c>
      <c r="F11">
        <v>11</v>
      </c>
    </row>
    <row r="12" spans="1:19" x14ac:dyDescent="0.55000000000000004">
      <c r="A12" s="6" t="s">
        <v>51</v>
      </c>
      <c r="B12">
        <v>16</v>
      </c>
      <c r="E12" s="6" t="s">
        <v>22</v>
      </c>
      <c r="F12">
        <v>16</v>
      </c>
    </row>
    <row r="13" spans="1:19" x14ac:dyDescent="0.55000000000000004">
      <c r="A13" s="6" t="s">
        <v>19</v>
      </c>
      <c r="B13">
        <v>16</v>
      </c>
      <c r="E13" s="6" t="s">
        <v>565</v>
      </c>
      <c r="F13">
        <v>54</v>
      </c>
    </row>
    <row r="14" spans="1:19" x14ac:dyDescent="0.55000000000000004">
      <c r="A14" s="6" t="s">
        <v>79</v>
      </c>
      <c r="B14">
        <v>18</v>
      </c>
    </row>
    <row r="15" spans="1:19" x14ac:dyDescent="0.55000000000000004">
      <c r="A15" s="6" t="s">
        <v>565</v>
      </c>
      <c r="B15">
        <v>54</v>
      </c>
    </row>
    <row r="16" spans="1:19" x14ac:dyDescent="0.55000000000000004">
      <c r="S16" s="4"/>
    </row>
    <row r="17" spans="1:19" x14ac:dyDescent="0.55000000000000004">
      <c r="S17" s="4"/>
    </row>
    <row r="18" spans="1:19" x14ac:dyDescent="0.55000000000000004">
      <c r="A18" s="6" t="s">
        <v>567</v>
      </c>
      <c r="S18" s="4"/>
    </row>
    <row r="19" spans="1:19" x14ac:dyDescent="0.55000000000000004">
      <c r="A19" s="5" t="s">
        <v>564</v>
      </c>
      <c r="B19" s="3" t="s">
        <v>556</v>
      </c>
      <c r="C19" t="s">
        <v>580</v>
      </c>
      <c r="D19" t="s">
        <v>581</v>
      </c>
      <c r="E19" t="s">
        <v>597</v>
      </c>
      <c r="S19" s="4"/>
    </row>
    <row r="20" spans="1:19" x14ac:dyDescent="0.55000000000000004">
      <c r="A20" s="6" t="s">
        <v>95</v>
      </c>
      <c r="B20">
        <v>11</v>
      </c>
      <c r="C20" s="3" t="str" cm="1">
        <f t="array" ref="C20:D23">A20:B23</f>
        <v>On Hold</v>
      </c>
      <c r="D20">
        <v>11</v>
      </c>
      <c r="E20" s="5" t="s">
        <v>564</v>
      </c>
      <c r="F20" s="3" t="s">
        <v>556</v>
      </c>
      <c r="H20" t="s">
        <v>582</v>
      </c>
      <c r="I20" t="s">
        <v>583</v>
      </c>
      <c r="S20" s="4"/>
    </row>
    <row r="21" spans="1:19" x14ac:dyDescent="0.55000000000000004">
      <c r="A21" s="6" t="s">
        <v>35</v>
      </c>
      <c r="B21">
        <v>13</v>
      </c>
      <c r="C21" t="str">
        <v>Completed</v>
      </c>
      <c r="D21">
        <v>13</v>
      </c>
      <c r="E21" s="6" t="s">
        <v>45</v>
      </c>
      <c r="F21">
        <v>6</v>
      </c>
      <c r="H21" s="3" t="str" cm="1">
        <f t="array" ref="H21:I33">E21:F33</f>
        <v>California</v>
      </c>
      <c r="I21">
        <v>6</v>
      </c>
      <c r="S21" s="4"/>
    </row>
    <row r="22" spans="1:19" x14ac:dyDescent="0.55000000000000004">
      <c r="A22" s="6" t="s">
        <v>21</v>
      </c>
      <c r="B22">
        <v>15</v>
      </c>
      <c r="C22" t="str">
        <v>Behind</v>
      </c>
      <c r="D22">
        <v>15</v>
      </c>
      <c r="E22" s="6" t="s">
        <v>82</v>
      </c>
      <c r="F22">
        <v>4</v>
      </c>
      <c r="G22" s="3"/>
      <c r="H22" t="str">
        <v>Florida</v>
      </c>
      <c r="I22">
        <v>4</v>
      </c>
      <c r="S22" s="4"/>
    </row>
    <row r="23" spans="1:19" x14ac:dyDescent="0.55000000000000004">
      <c r="A23" s="6" t="s">
        <v>40</v>
      </c>
      <c r="B23">
        <v>15</v>
      </c>
      <c r="C23" t="str">
        <v>On Track</v>
      </c>
      <c r="D23">
        <v>15</v>
      </c>
      <c r="E23" s="6" t="s">
        <v>91</v>
      </c>
      <c r="F23">
        <v>6</v>
      </c>
      <c r="H23" t="str">
        <v>Georgia</v>
      </c>
      <c r="I23">
        <v>6</v>
      </c>
      <c r="S23" s="4"/>
    </row>
    <row r="24" spans="1:19" x14ac:dyDescent="0.55000000000000004">
      <c r="A24" s="6" t="s">
        <v>565</v>
      </c>
      <c r="B24">
        <v>54</v>
      </c>
      <c r="E24" s="6" t="s">
        <v>87</v>
      </c>
      <c r="F24">
        <v>2</v>
      </c>
      <c r="H24" t="str">
        <v>Illinois</v>
      </c>
      <c r="I24">
        <v>2</v>
      </c>
    </row>
    <row r="25" spans="1:19" x14ac:dyDescent="0.55000000000000004">
      <c r="E25" s="6" t="s">
        <v>67</v>
      </c>
      <c r="F25">
        <v>5</v>
      </c>
      <c r="H25" t="str">
        <v>Michigan</v>
      </c>
      <c r="I25">
        <v>5</v>
      </c>
    </row>
    <row r="26" spans="1:19" x14ac:dyDescent="0.55000000000000004">
      <c r="A26" s="6" t="s">
        <v>596</v>
      </c>
      <c r="E26" s="6" t="s">
        <v>27</v>
      </c>
      <c r="F26">
        <v>4</v>
      </c>
      <c r="H26" t="str">
        <v>New Jersey</v>
      </c>
      <c r="I26">
        <v>4</v>
      </c>
    </row>
    <row r="27" spans="1:19" x14ac:dyDescent="0.55000000000000004">
      <c r="A27" s="5" t="s">
        <v>564</v>
      </c>
      <c r="B27" s="3" t="s">
        <v>562</v>
      </c>
      <c r="C27" s="3" t="s">
        <v>563</v>
      </c>
      <c r="E27" s="6" t="s">
        <v>43</v>
      </c>
      <c r="F27">
        <v>2</v>
      </c>
      <c r="H27" t="str">
        <v>New York</v>
      </c>
      <c r="I27">
        <v>2</v>
      </c>
    </row>
    <row r="28" spans="1:19" x14ac:dyDescent="0.55000000000000004">
      <c r="A28" s="6" t="s">
        <v>572</v>
      </c>
      <c r="B28" s="9">
        <v>267344</v>
      </c>
      <c r="C28">
        <v>80477</v>
      </c>
      <c r="E28" s="6" t="s">
        <v>74</v>
      </c>
      <c r="F28">
        <v>4</v>
      </c>
      <c r="H28" t="str">
        <v>North Carolina</v>
      </c>
      <c r="I28">
        <v>4</v>
      </c>
    </row>
    <row r="29" spans="1:19" x14ac:dyDescent="0.55000000000000004">
      <c r="A29" s="6" t="s">
        <v>573</v>
      </c>
      <c r="B29">
        <v>166966</v>
      </c>
      <c r="C29">
        <v>54532</v>
      </c>
      <c r="E29" s="6" t="s">
        <v>32</v>
      </c>
      <c r="F29">
        <v>3</v>
      </c>
      <c r="H29" t="str">
        <v>Ohio</v>
      </c>
      <c r="I29">
        <v>3</v>
      </c>
    </row>
    <row r="30" spans="1:19" x14ac:dyDescent="0.55000000000000004">
      <c r="A30" s="6" t="s">
        <v>574</v>
      </c>
      <c r="B30">
        <v>155876</v>
      </c>
      <c r="C30">
        <v>80206</v>
      </c>
      <c r="E30" s="6" t="s">
        <v>39</v>
      </c>
      <c r="F30">
        <v>4</v>
      </c>
      <c r="H30" t="str">
        <v>Pennsylvania</v>
      </c>
      <c r="I30">
        <v>4</v>
      </c>
    </row>
    <row r="31" spans="1:19" x14ac:dyDescent="0.55000000000000004">
      <c r="A31" s="6" t="s">
        <v>575</v>
      </c>
      <c r="B31">
        <v>213038</v>
      </c>
      <c r="C31">
        <v>52009</v>
      </c>
      <c r="E31" s="6" t="s">
        <v>20</v>
      </c>
      <c r="F31">
        <v>5</v>
      </c>
      <c r="H31" t="str">
        <v>Texas</v>
      </c>
      <c r="I31">
        <v>5</v>
      </c>
    </row>
    <row r="32" spans="1:19" x14ac:dyDescent="0.55000000000000004">
      <c r="A32" s="6" t="s">
        <v>576</v>
      </c>
      <c r="B32">
        <v>223592</v>
      </c>
      <c r="C32">
        <v>76867</v>
      </c>
      <c r="E32" s="6" t="s">
        <v>54</v>
      </c>
      <c r="F32">
        <v>5</v>
      </c>
      <c r="H32" t="str">
        <v>Virginia</v>
      </c>
      <c r="I32">
        <v>5</v>
      </c>
    </row>
    <row r="33" spans="1:11" x14ac:dyDescent="0.55000000000000004">
      <c r="A33" s="6" t="s">
        <v>577</v>
      </c>
      <c r="B33">
        <v>278028</v>
      </c>
      <c r="C33">
        <v>82083</v>
      </c>
      <c r="E33" s="6" t="s">
        <v>89</v>
      </c>
      <c r="F33">
        <v>4</v>
      </c>
      <c r="H33" t="str">
        <v>Washington</v>
      </c>
      <c r="I33">
        <v>4</v>
      </c>
    </row>
    <row r="34" spans="1:11" x14ac:dyDescent="0.55000000000000004">
      <c r="A34" s="6" t="s">
        <v>578</v>
      </c>
      <c r="B34">
        <v>232082</v>
      </c>
      <c r="C34">
        <v>58311</v>
      </c>
      <c r="E34" s="6" t="s">
        <v>565</v>
      </c>
      <c r="F34">
        <v>54</v>
      </c>
    </row>
    <row r="35" spans="1:11" x14ac:dyDescent="0.55000000000000004">
      <c r="A35" s="6" t="s">
        <v>579</v>
      </c>
      <c r="B35">
        <v>150354</v>
      </c>
      <c r="C35">
        <v>33936</v>
      </c>
    </row>
    <row r="36" spans="1:11" x14ac:dyDescent="0.55000000000000004">
      <c r="A36" s="6" t="s">
        <v>565</v>
      </c>
      <c r="B36">
        <v>1687280</v>
      </c>
      <c r="C36">
        <v>518421</v>
      </c>
    </row>
    <row r="37" spans="1:11" x14ac:dyDescent="0.55000000000000004">
      <c r="D37" s="3"/>
    </row>
    <row r="38" spans="1:11" x14ac:dyDescent="0.55000000000000004">
      <c r="D38" s="3"/>
      <c r="E38" s="5" t="s">
        <v>10</v>
      </c>
      <c r="F38" s="3" t="s">
        <v>35</v>
      </c>
    </row>
    <row r="39" spans="1:11" x14ac:dyDescent="0.55000000000000004">
      <c r="A39" s="5" t="s">
        <v>564</v>
      </c>
      <c r="B39" s="3" t="s">
        <v>588</v>
      </c>
    </row>
    <row r="40" spans="1:11" x14ac:dyDescent="0.55000000000000004">
      <c r="A40" s="6" t="s">
        <v>35</v>
      </c>
      <c r="B40">
        <v>14</v>
      </c>
      <c r="C40">
        <f>GETPIVOTDATA("Task ID",$A$39,"Task Status","Completed")</f>
        <v>14</v>
      </c>
      <c r="E40" s="5" t="s">
        <v>564</v>
      </c>
      <c r="F40" s="3" t="s">
        <v>588</v>
      </c>
      <c r="G40" t="s">
        <v>594</v>
      </c>
      <c r="H40" t="s">
        <v>595</v>
      </c>
      <c r="I40" t="s">
        <v>595</v>
      </c>
    </row>
    <row r="41" spans="1:11" x14ac:dyDescent="0.55000000000000004">
      <c r="A41" s="6" t="s">
        <v>25</v>
      </c>
      <c r="B41">
        <v>21</v>
      </c>
      <c r="E41" s="6" t="s">
        <v>573</v>
      </c>
      <c r="F41" s="11">
        <v>1</v>
      </c>
      <c r="G41" s="3" t="str" cm="1">
        <f t="array" ref="G41:H48">E41:F48</f>
        <v>Feb</v>
      </c>
      <c r="H41">
        <v>1</v>
      </c>
      <c r="I41" cm="1">
        <f t="array" ref="I41:I48">H41:H48</f>
        <v>1</v>
      </c>
      <c r="K41" s="16"/>
    </row>
    <row r="42" spans="1:11" x14ac:dyDescent="0.55000000000000004">
      <c r="A42" s="6" t="s">
        <v>42</v>
      </c>
      <c r="B42">
        <v>19</v>
      </c>
      <c r="E42" s="6" t="s">
        <v>575</v>
      </c>
      <c r="F42" s="11">
        <v>3</v>
      </c>
      <c r="G42" t="str">
        <v>Apr</v>
      </c>
      <c r="H42">
        <v>3</v>
      </c>
      <c r="I42">
        <v>3</v>
      </c>
    </row>
    <row r="43" spans="1:11" x14ac:dyDescent="0.55000000000000004">
      <c r="A43" s="6" t="s">
        <v>565</v>
      </c>
      <c r="B43">
        <v>54</v>
      </c>
      <c r="E43" s="6" t="s">
        <v>577</v>
      </c>
      <c r="F43" s="11">
        <v>1</v>
      </c>
      <c r="G43" t="str">
        <v>Jun</v>
      </c>
      <c r="H43">
        <v>1</v>
      </c>
      <c r="I43">
        <v>1</v>
      </c>
    </row>
    <row r="44" spans="1:11" x14ac:dyDescent="0.55000000000000004">
      <c r="E44" s="6" t="s">
        <v>578</v>
      </c>
      <c r="F44" s="11">
        <v>3</v>
      </c>
      <c r="G44" t="str">
        <v>Jul</v>
      </c>
      <c r="H44">
        <v>3</v>
      </c>
      <c r="I44">
        <v>3</v>
      </c>
    </row>
    <row r="45" spans="1:11" x14ac:dyDescent="0.55000000000000004">
      <c r="A45" t="s">
        <v>603</v>
      </c>
      <c r="E45" s="6" t="s">
        <v>579</v>
      </c>
      <c r="F45" s="11">
        <v>2</v>
      </c>
      <c r="G45" t="str">
        <v>Aug</v>
      </c>
      <c r="H45">
        <v>2</v>
      </c>
      <c r="I45">
        <v>2</v>
      </c>
    </row>
    <row r="46" spans="1:11" x14ac:dyDescent="0.55000000000000004">
      <c r="A46" s="5" t="s">
        <v>564</v>
      </c>
      <c r="B46" s="3" t="s">
        <v>588</v>
      </c>
      <c r="E46" s="6" t="s">
        <v>590</v>
      </c>
      <c r="F46" s="11">
        <v>4</v>
      </c>
      <c r="G46" t="str">
        <v>Sep</v>
      </c>
      <c r="H46">
        <v>4</v>
      </c>
      <c r="I46">
        <v>4</v>
      </c>
    </row>
    <row r="47" spans="1:11" x14ac:dyDescent="0.55000000000000004">
      <c r="A47" s="6" t="s">
        <v>35</v>
      </c>
      <c r="B47">
        <v>14</v>
      </c>
      <c r="E47" s="6" t="s">
        <v>565</v>
      </c>
      <c r="F47" s="11">
        <v>14</v>
      </c>
      <c r="G47" t="str">
        <v>Grand Total</v>
      </c>
      <c r="H47">
        <v>14</v>
      </c>
      <c r="I47">
        <v>14</v>
      </c>
    </row>
    <row r="48" spans="1:11" x14ac:dyDescent="0.55000000000000004">
      <c r="A48" s="6" t="s">
        <v>25</v>
      </c>
      <c r="B48">
        <v>21</v>
      </c>
      <c r="G48">
        <v>0</v>
      </c>
      <c r="H48">
        <v>0</v>
      </c>
      <c r="I48">
        <v>0</v>
      </c>
    </row>
    <row r="49" spans="1:9" x14ac:dyDescent="0.55000000000000004">
      <c r="A49" s="6" t="s">
        <v>42</v>
      </c>
      <c r="B49">
        <v>19</v>
      </c>
    </row>
    <row r="50" spans="1:9" x14ac:dyDescent="0.55000000000000004">
      <c r="A50" s="6" t="s">
        <v>565</v>
      </c>
      <c r="B50">
        <v>54</v>
      </c>
    </row>
    <row r="52" spans="1:9" x14ac:dyDescent="0.55000000000000004">
      <c r="A52" t="s">
        <v>604</v>
      </c>
    </row>
    <row r="53" spans="1:9" x14ac:dyDescent="0.55000000000000004">
      <c r="A53" s="5" t="s">
        <v>564</v>
      </c>
      <c r="B53" s="3" t="s">
        <v>589</v>
      </c>
    </row>
    <row r="54" spans="1:9" x14ac:dyDescent="0.55000000000000004">
      <c r="A54" s="6" t="s">
        <v>23</v>
      </c>
      <c r="B54" s="12">
        <v>505</v>
      </c>
      <c r="E54" s="5" t="s">
        <v>588</v>
      </c>
      <c r="F54" s="5" t="s">
        <v>570</v>
      </c>
      <c r="G54" s="3"/>
      <c r="H54" s="3"/>
      <c r="I54" s="3"/>
    </row>
    <row r="55" spans="1:9" x14ac:dyDescent="0.55000000000000004">
      <c r="A55" s="6" t="s">
        <v>29</v>
      </c>
      <c r="B55" s="12">
        <v>105</v>
      </c>
      <c r="E55" s="5" t="s">
        <v>564</v>
      </c>
      <c r="F55" s="3" t="s">
        <v>35</v>
      </c>
      <c r="G55" s="3" t="s">
        <v>25</v>
      </c>
      <c r="H55" s="3" t="s">
        <v>42</v>
      </c>
      <c r="I55" s="3" t="s">
        <v>565</v>
      </c>
    </row>
    <row r="56" spans="1:9" x14ac:dyDescent="0.55000000000000004">
      <c r="A56" s="6" t="s">
        <v>33</v>
      </c>
      <c r="B56" s="12">
        <v>450</v>
      </c>
      <c r="E56" s="6" t="s">
        <v>572</v>
      </c>
      <c r="F56" s="11"/>
      <c r="G56" s="11">
        <v>3</v>
      </c>
      <c r="H56" s="11">
        <v>1</v>
      </c>
      <c r="I56" s="11">
        <v>4</v>
      </c>
    </row>
    <row r="57" spans="1:9" x14ac:dyDescent="0.55000000000000004">
      <c r="A57" s="6" t="s">
        <v>565</v>
      </c>
      <c r="B57" s="12">
        <v>1060</v>
      </c>
      <c r="E57" s="6" t="s">
        <v>573</v>
      </c>
      <c r="F57" s="11">
        <v>1</v>
      </c>
      <c r="G57" s="11">
        <v>1</v>
      </c>
      <c r="H57" s="11"/>
      <c r="I57" s="11">
        <v>2</v>
      </c>
    </row>
    <row r="58" spans="1:9" x14ac:dyDescent="0.55000000000000004">
      <c r="E58" s="6" t="s">
        <v>574</v>
      </c>
      <c r="F58" s="11"/>
      <c r="G58" s="11">
        <v>2</v>
      </c>
      <c r="H58" s="11">
        <v>1</v>
      </c>
      <c r="I58" s="11">
        <v>3</v>
      </c>
    </row>
    <row r="59" spans="1:9" x14ac:dyDescent="0.55000000000000004">
      <c r="A59" t="s">
        <v>605</v>
      </c>
      <c r="E59" s="6" t="s">
        <v>575</v>
      </c>
      <c r="F59" s="11">
        <v>3</v>
      </c>
      <c r="G59" s="11"/>
      <c r="H59" s="11">
        <v>1</v>
      </c>
      <c r="I59" s="11">
        <v>4</v>
      </c>
    </row>
    <row r="60" spans="1:9" x14ac:dyDescent="0.55000000000000004">
      <c r="A60" s="5" t="s">
        <v>564</v>
      </c>
      <c r="B60" s="3" t="s">
        <v>569</v>
      </c>
      <c r="E60" s="6" t="s">
        <v>576</v>
      </c>
      <c r="F60" s="11"/>
      <c r="G60" s="11"/>
      <c r="H60" s="11">
        <v>3</v>
      </c>
      <c r="I60" s="11">
        <v>3</v>
      </c>
    </row>
    <row r="61" spans="1:9" x14ac:dyDescent="0.55000000000000004">
      <c r="A61" s="6" t="s">
        <v>23</v>
      </c>
      <c r="B61" s="11">
        <v>16.03</v>
      </c>
      <c r="E61" s="6" t="s">
        <v>577</v>
      </c>
      <c r="F61" s="11">
        <v>1</v>
      </c>
      <c r="G61" s="11">
        <v>2</v>
      </c>
      <c r="H61" s="11">
        <v>3</v>
      </c>
      <c r="I61" s="11">
        <v>6</v>
      </c>
    </row>
    <row r="62" spans="1:9" x14ac:dyDescent="0.55000000000000004">
      <c r="A62" s="6" t="s">
        <v>29</v>
      </c>
      <c r="B62" s="11">
        <v>3.45</v>
      </c>
      <c r="E62" s="6" t="s">
        <v>578</v>
      </c>
      <c r="F62" s="11">
        <v>3</v>
      </c>
      <c r="G62" s="11">
        <v>3</v>
      </c>
      <c r="H62" s="11"/>
      <c r="I62" s="11">
        <v>6</v>
      </c>
    </row>
    <row r="63" spans="1:9" x14ac:dyDescent="0.55000000000000004">
      <c r="A63" s="6" t="s">
        <v>33</v>
      </c>
      <c r="B63" s="11">
        <v>12.75</v>
      </c>
      <c r="E63" s="6" t="s">
        <v>579</v>
      </c>
      <c r="F63" s="11">
        <v>2</v>
      </c>
      <c r="G63" s="11">
        <v>1</v>
      </c>
      <c r="H63" s="11">
        <v>3</v>
      </c>
      <c r="I63" s="11">
        <v>6</v>
      </c>
    </row>
    <row r="64" spans="1:9" x14ac:dyDescent="0.55000000000000004">
      <c r="A64" s="6" t="s">
        <v>565</v>
      </c>
      <c r="B64" s="11">
        <v>32.230000000000004</v>
      </c>
      <c r="E64" s="6" t="s">
        <v>590</v>
      </c>
      <c r="F64" s="11">
        <v>4</v>
      </c>
      <c r="G64" s="11">
        <v>2</v>
      </c>
      <c r="H64" s="11">
        <v>3</v>
      </c>
      <c r="I64" s="11">
        <v>9</v>
      </c>
    </row>
    <row r="65" spans="5:9" x14ac:dyDescent="0.55000000000000004">
      <c r="E65" s="6" t="s">
        <v>591</v>
      </c>
      <c r="F65" s="11"/>
      <c r="G65" s="11">
        <v>2</v>
      </c>
      <c r="H65" s="11">
        <v>1</v>
      </c>
      <c r="I65" s="11">
        <v>3</v>
      </c>
    </row>
    <row r="66" spans="5:9" x14ac:dyDescent="0.55000000000000004">
      <c r="E66" s="6" t="s">
        <v>592</v>
      </c>
      <c r="F66" s="11"/>
      <c r="G66" s="11">
        <v>3</v>
      </c>
      <c r="H66" s="11">
        <v>2</v>
      </c>
      <c r="I66" s="11">
        <v>5</v>
      </c>
    </row>
    <row r="67" spans="5:9" x14ac:dyDescent="0.55000000000000004">
      <c r="E67" s="6" t="s">
        <v>593</v>
      </c>
      <c r="F67" s="11"/>
      <c r="G67" s="11">
        <v>2</v>
      </c>
      <c r="H67" s="11">
        <v>1</v>
      </c>
      <c r="I67" s="11">
        <v>3</v>
      </c>
    </row>
    <row r="68" spans="5:9" x14ac:dyDescent="0.55000000000000004">
      <c r="E68" s="6" t="s">
        <v>565</v>
      </c>
      <c r="F68" s="11">
        <v>14</v>
      </c>
      <c r="G68" s="11">
        <v>21</v>
      </c>
      <c r="H68" s="11">
        <v>19</v>
      </c>
      <c r="I68" s="11">
        <v>54</v>
      </c>
    </row>
    <row r="85" spans="16:17" x14ac:dyDescent="0.55000000000000004">
      <c r="P85" s="13"/>
      <c r="Q85" s="13"/>
    </row>
  </sheetData>
  <conditionalFormatting sqref="S16:S23">
    <cfRule type="dataBar" priority="1">
      <dataBar>
        <cfvo type="min"/>
        <cfvo type="max"/>
        <color rgb="FF63C384"/>
      </dataBar>
      <extLst>
        <ext xmlns:x14="http://schemas.microsoft.com/office/spreadsheetml/2009/9/main" uri="{B025F937-C7B1-47D3-B67F-A62EFF666E3E}">
          <x14:id>{77166EC1-1D15-49DC-9C22-2F95FAF35340}</x14:id>
        </ext>
      </extLst>
    </cfRule>
  </conditionalFormatting>
  <pageMargins left="0.7" right="0.7" top="0.75" bottom="0.75" header="0.3" footer="0.3"/>
  <pageSetup orientation="portrait" r:id="rId16"/>
  <extLst>
    <ext xmlns:x14="http://schemas.microsoft.com/office/spreadsheetml/2009/9/main" uri="{78C0D931-6437-407d-A8EE-F0AAD7539E65}">
      <x14:conditionalFormattings>
        <x14:conditionalFormatting xmlns:xm="http://schemas.microsoft.com/office/excel/2006/main">
          <x14:cfRule type="dataBar" id="{77166EC1-1D15-49DC-9C22-2F95FAF35340}">
            <x14:dataBar minLength="0" maxLength="100" border="1" negativeBarBorderColorSameAsPositive="0">
              <x14:cfvo type="autoMin"/>
              <x14:cfvo type="autoMax"/>
              <x14:borderColor rgb="FF63C384"/>
              <x14:negativeFillColor rgb="FFFF0000"/>
              <x14:negativeBorderColor rgb="FFFF0000"/>
              <x14:axisColor rgb="FF000000"/>
            </x14:dataBar>
          </x14:cfRule>
          <xm:sqref>S16:S23</xm:sqref>
        </x14:conditionalFormatting>
      </x14:conditionalFormattings>
    </ext>
    <ext xmlns:x14="http://schemas.microsoft.com/office/spreadsheetml/2009/9/main" uri="{05C60535-1F16-4fd2-B633-F4F36F0B64E0}">
      <x14:sparklineGroups xmlns:xm="http://schemas.microsoft.com/office/excel/2006/main">
        <x14:sparklineGroup displayEmptyCellsAs="gap" xr2:uid="{E9B79FE0-4DEC-4DFD-B44C-FBC23C6623AE}">
          <x14:colorSeries theme="3"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 ANALYSIS'!K42:K42</xm:f>
              <xm:sqref>K42</xm:sqref>
            </x14:sparkline>
            <x14:sparkline>
              <xm:f>' ANALYSIS'!K43:K43</xm:f>
              <xm:sqref>K43</xm:sqref>
            </x14:sparkline>
            <x14:sparkline>
              <xm:f>' ANALYSIS'!K44:K44</xm:f>
              <xm:sqref>K44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F826-DEDB-48B2-8F09-B604260E74EA}">
  <dimension ref="D4:AA28"/>
  <sheetViews>
    <sheetView zoomScale="60" zoomScaleNormal="60" workbookViewId="0">
      <selection activeCell="W12" sqref="W12"/>
    </sheetView>
    <sheetView zoomScale="70" zoomScaleNormal="70" workbookViewId="1">
      <selection activeCell="AB34" sqref="AB34"/>
    </sheetView>
  </sheetViews>
  <sheetFormatPr defaultRowHeight="14.4" x14ac:dyDescent="0.55000000000000004"/>
  <cols>
    <col min="1" max="4" width="8.83984375" style="18"/>
    <col min="5" max="5" width="10.62890625" style="18" bestFit="1" customWidth="1"/>
    <col min="6" max="6" width="12.83984375" style="18" customWidth="1"/>
    <col min="7" max="7" width="15.83984375" style="18" customWidth="1"/>
    <col min="8" max="16384" width="8.83984375" style="18"/>
  </cols>
  <sheetData>
    <row r="4" spans="4:7" ht="15.6" x14ac:dyDescent="0.55000000000000004">
      <c r="D4" s="17" t="s">
        <v>598</v>
      </c>
      <c r="E4" s="17" t="s">
        <v>599</v>
      </c>
      <c r="F4" s="17" t="s">
        <v>600</v>
      </c>
      <c r="G4" s="17" t="s">
        <v>607</v>
      </c>
    </row>
    <row r="5" spans="4:7" ht="25.8" x14ac:dyDescent="0.55000000000000004">
      <c r="D5" s="19">
        <f>PROJECTS</f>
        <v>54</v>
      </c>
      <c r="E5" s="21">
        <f>BUDGET</f>
        <v>336554</v>
      </c>
      <c r="F5" s="22">
        <f>COST</f>
        <v>100465</v>
      </c>
      <c r="G5" s="20">
        <f>BUDGETUSED</f>
        <v>0.29851078875901044</v>
      </c>
    </row>
    <row r="28" spans="27:27" x14ac:dyDescent="0.55000000000000004">
      <c r="AA28" s="18" t="s">
        <v>608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EE9B7-6F96-4FFA-A700-0B06DC09F65E}">
  <dimension ref="D4:G5"/>
  <sheetViews>
    <sheetView tabSelected="1" zoomScale="60" zoomScaleNormal="60" workbookViewId="0">
      <selection activeCell="X36" sqref="X36"/>
    </sheetView>
    <sheetView tabSelected="1" zoomScale="55" zoomScaleNormal="55" workbookViewId="1">
      <selection activeCell="AH43" sqref="AH43"/>
    </sheetView>
  </sheetViews>
  <sheetFormatPr defaultRowHeight="14.4" x14ac:dyDescent="0.55000000000000004"/>
  <cols>
    <col min="1" max="4" width="8.83984375" style="18"/>
    <col min="5" max="5" width="15.734375" style="18" customWidth="1"/>
    <col min="6" max="6" width="14.26171875" style="18" customWidth="1"/>
    <col min="7" max="7" width="17.47265625" style="18" customWidth="1"/>
    <col min="8" max="16384" width="8.83984375" style="18"/>
  </cols>
  <sheetData>
    <row r="4" spans="4:7" ht="15.6" x14ac:dyDescent="0.55000000000000004">
      <c r="D4" s="17" t="s">
        <v>601</v>
      </c>
      <c r="E4" s="17" t="s">
        <v>35</v>
      </c>
      <c r="F4" s="17" t="s">
        <v>602</v>
      </c>
      <c r="G4" s="17" t="s">
        <v>606</v>
      </c>
    </row>
    <row r="5" spans="4:7" ht="25.8" x14ac:dyDescent="0.55000000000000004">
      <c r="D5" s="19">
        <f>TASKS</f>
        <v>54</v>
      </c>
      <c r="E5" s="25">
        <f>COMPLETED</f>
        <v>87</v>
      </c>
      <c r="F5" s="19">
        <f>HOURS</f>
        <v>5763</v>
      </c>
      <c r="G5" s="20">
        <f>' ANALYSIS'!K5</f>
        <v>1.6111111111111112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907512-2401-49FC-94CF-31F261CA67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RAW DATA</vt:lpstr>
      <vt:lpstr> ANALYSIS</vt:lpstr>
      <vt:lpstr>PROJECT SUMMARY</vt:lpstr>
      <vt:lpstr>TASK SUMMARY </vt:lpstr>
      <vt:lpstr>BUDGET</vt:lpstr>
      <vt:lpstr>BUDGETUSED</vt:lpstr>
      <vt:lpstr>COMPLETED</vt:lpstr>
      <vt:lpstr>COST</vt:lpstr>
      <vt:lpstr>HOURS</vt:lpstr>
      <vt:lpstr>PROJECTS</vt:lpstr>
      <vt:lpstr>task</vt:lpstr>
      <vt:lpstr>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Nelma Cavaleiro</cp:lastModifiedBy>
  <dcterms:created xsi:type="dcterms:W3CDTF">2025-03-13T17:27:29Z</dcterms:created>
  <dcterms:modified xsi:type="dcterms:W3CDTF">2026-02-05T23:38:40Z</dcterms:modified>
</cp:coreProperties>
</file>